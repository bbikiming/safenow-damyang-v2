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인력 평가" sheetId="3" state="visible" r:id="rId3"/>
    <sheet xmlns:r="http://schemas.openxmlformats.org/officeDocument/2006/relationships" name="평가 현황·설정" sheetId="4" state="visible" r:id="rId4"/>
    <sheet xmlns:r="http://schemas.openxmlformats.org/officeDocument/2006/relationships" name="예산 기준 설정" sheetId="5" state="visible" r:id="rId5"/>
    <sheet xmlns:r="http://schemas.openxmlformats.org/officeDocument/2006/relationships" name="예산 총괄표" sheetId="6" state="visible" r:id="rId6"/>
    <sheet xmlns:r="http://schemas.openxmlformats.org/officeDocument/2006/relationships" name="_정보" sheetId="7" state="hidden" r:id="rId7"/>
  </sheets>
  <definedNames>
    <definedName name="_xlnm._FilterDatabase" localSheetId="2" hidden="1">'인력 평가'!$A$3:$I$9</definedName>
    <definedName name="_xlnm.Print_Titles" localSheetId="2">'인력 평가'!$3:$3</definedName>
    <definedName name="_xlnm._FilterDatabase" localSheetId="3" hidden="1">'평가 현황·설정'!$A$3:$I$8</definedName>
    <definedName name="_xlnm.Print_Titles" localSheetId="3">'평가 현황·설정'!$3:$3</definedName>
    <definedName name="_xlnm._FilterDatabase" localSheetId="4" hidden="1">'예산 기준 설정'!$A$3:$I$6</definedName>
    <definedName name="_xlnm.Print_Titles" localSheetId="4">'예산 기준 설정'!$3:$3</definedName>
    <definedName name="_xlnm._FilterDatabase" localSheetId="5" hidden="1">'예산 총괄표'!$A$3:$I$12</definedName>
    <definedName name="_xlnm.Print_Titles" localSheetId="5">'예산 총괄표'!$3:$3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인력·예산 · 이혜린</t>
        </is>
      </c>
    </row>
    <row r="3" ht="22" customHeight="1">
      <c r="A3" s="2" t="inlineStr">
        <is>
          <t>메뉴</t>
        </is>
      </c>
      <c r="B3" s="3" t="inlineStr">
        <is>
          <t>인력·예산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이혜린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QA박안전6 (재난안전과 담당자) · QA하정수6 (내 부서 문화체육과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인력 평가(인력 평가 · 평가 현황 · 평가 설정)와 예산 관리(예산 기준 설정 · 예산 총괄표)를 봅니다. 대부분 QA박안전6 계정으로 하고, 평가·점검표는 내 부서(문화체육과) 것만 만듭니다.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23줄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인력 평가 → 평가 현황·설정 → 예산 기준 설정 → 예산 총괄표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QA박안전6(재난안전과), 시크릿 창(Ctrl + Shift + N · 맥 Cmd + Shift + N)에는 QA하정수6(담당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QA박안전6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QA하정수6</t>
        </is>
      </c>
      <c r="B40" s="3" t="inlineStr">
        <is>
          <t>담당 공무원 (내 부서: 문화체육과)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«이혜린_집합교육».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QA박안전6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인력·예산 · 이혜린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인력 평가</t>
        </is>
      </c>
      <c r="B5" s="21">
        <f>COUNTA('인력 평가'!$A$4:$A$9)</f>
        <v>6</v>
      </c>
      <c r="C5" s="21">
        <f>COUNTIF('인력 평가'!$G$4:$G$9,"성공")</f>
        <v>0</v>
      </c>
      <c r="D5" s="21">
        <f>COUNTIF('인력 평가'!$G$4:$G$9,"실패")</f>
        <v>0</v>
      </c>
      <c r="E5" s="21">
        <f>COUNTIF('인력 평가'!$G$4:$G$9,"오류")</f>
        <v>0</v>
      </c>
      <c r="F5" s="21">
        <f>COUNTIF('인력 평가'!$G$4:$G$9,"보류")</f>
        <v>0</v>
      </c>
      <c r="G5" s="21">
        <f>COUNTIF('인력 평가'!$G$4:$G$9,"확인 불가")</f>
        <v>0</v>
      </c>
      <c r="H5" s="21">
        <f>COUNTIF('인력 평가'!$G$4:$G$9,"문의")</f>
        <v>0</v>
      </c>
      <c r="I5" s="21">
        <f>COUNTBLANK('인력 평가'!$G$4:$G$9)</f>
        <v>6</v>
      </c>
      <c r="J5" s="22">
        <f>IF(B5=0,0,(B5-I5)/B5)</f>
        <v>0</v>
      </c>
    </row>
    <row r="6" ht="22" customHeight="1">
      <c r="A6" s="20" t="inlineStr">
        <is>
          <t>평가 현황·설정</t>
        </is>
      </c>
      <c r="B6" s="21">
        <f>COUNTA('평가 현황·설정'!$A$4:$A$8)</f>
        <v>5</v>
      </c>
      <c r="C6" s="21">
        <f>COUNTIF('평가 현황·설정'!$G$4:$G$8,"성공")</f>
        <v>0</v>
      </c>
      <c r="D6" s="21">
        <f>COUNTIF('평가 현황·설정'!$G$4:$G$8,"실패")</f>
        <v>0</v>
      </c>
      <c r="E6" s="21">
        <f>COUNTIF('평가 현황·설정'!$G$4:$G$8,"오류")</f>
        <v>0</v>
      </c>
      <c r="F6" s="21">
        <f>COUNTIF('평가 현황·설정'!$G$4:$G$8,"보류")</f>
        <v>0</v>
      </c>
      <c r="G6" s="21">
        <f>COUNTIF('평가 현황·설정'!$G$4:$G$8,"확인 불가")</f>
        <v>0</v>
      </c>
      <c r="H6" s="21">
        <f>COUNTIF('평가 현황·설정'!$G$4:$G$8,"문의")</f>
        <v>0</v>
      </c>
      <c r="I6" s="21">
        <f>COUNTBLANK('평가 현황·설정'!$G$4:$G$8)</f>
        <v>5</v>
      </c>
      <c r="J6" s="22">
        <f>IF(B6=0,0,(B6-I6)/B6)</f>
        <v>0</v>
      </c>
    </row>
    <row r="7" ht="22" customHeight="1">
      <c r="A7" s="20" t="inlineStr">
        <is>
          <t>예산 기준 설정</t>
        </is>
      </c>
      <c r="B7" s="21">
        <f>COUNTA('예산 기준 설정'!$A$4:$A$6)</f>
        <v>3</v>
      </c>
      <c r="C7" s="21">
        <f>COUNTIF('예산 기준 설정'!$G$4:$G$6,"성공")</f>
        <v>0</v>
      </c>
      <c r="D7" s="21">
        <f>COUNTIF('예산 기준 설정'!$G$4:$G$6,"실패")</f>
        <v>0</v>
      </c>
      <c r="E7" s="21">
        <f>COUNTIF('예산 기준 설정'!$G$4:$G$6,"오류")</f>
        <v>0</v>
      </c>
      <c r="F7" s="21">
        <f>COUNTIF('예산 기준 설정'!$G$4:$G$6,"보류")</f>
        <v>0</v>
      </c>
      <c r="G7" s="21">
        <f>COUNTIF('예산 기준 설정'!$G$4:$G$6,"확인 불가")</f>
        <v>0</v>
      </c>
      <c r="H7" s="21">
        <f>COUNTIF('예산 기준 설정'!$G$4:$G$6,"문의")</f>
        <v>0</v>
      </c>
      <c r="I7" s="21">
        <f>COUNTBLANK('예산 기준 설정'!$G$4:$G$6)</f>
        <v>3</v>
      </c>
      <c r="J7" s="22">
        <f>IF(B7=0,0,(B7-I7)/B7)</f>
        <v>0</v>
      </c>
    </row>
    <row r="8" ht="22" customHeight="1">
      <c r="A8" s="20" t="inlineStr">
        <is>
          <t>예산 총괄표</t>
        </is>
      </c>
      <c r="B8" s="21">
        <f>COUNTA('예산 총괄표'!$A$4:$A$12)</f>
        <v>9</v>
      </c>
      <c r="C8" s="21">
        <f>COUNTIF('예산 총괄표'!$G$4:$G$12,"성공")</f>
        <v>0</v>
      </c>
      <c r="D8" s="21">
        <f>COUNTIF('예산 총괄표'!$G$4:$G$12,"실패")</f>
        <v>0</v>
      </c>
      <c r="E8" s="21">
        <f>COUNTIF('예산 총괄표'!$G$4:$G$12,"오류")</f>
        <v>0</v>
      </c>
      <c r="F8" s="21">
        <f>COUNTIF('예산 총괄표'!$G$4:$G$12,"보류")</f>
        <v>0</v>
      </c>
      <c r="G8" s="21">
        <f>COUNTIF('예산 총괄표'!$G$4:$G$12,"확인 불가")</f>
        <v>0</v>
      </c>
      <c r="H8" s="21">
        <f>COUNTIF('예산 총괄표'!$G$4:$G$12,"문의")</f>
        <v>0</v>
      </c>
      <c r="I8" s="21">
        <f>COUNTBLANK('예산 총괄표'!$G$4:$G$12)</f>
        <v>9</v>
      </c>
      <c r="J8" s="22">
        <f>IF(B8=0,0,(B8-I8)/B8)</f>
        <v>0</v>
      </c>
    </row>
    <row r="9" ht="24" customHeight="1">
      <c r="A9" s="23" t="inlineStr">
        <is>
          <t>합계</t>
        </is>
      </c>
      <c r="B9" s="24">
        <f>SUM(B5:B8)</f>
        <v>23</v>
      </c>
      <c r="C9" s="24">
        <f>SUM(C5:C8)</f>
        <v>0</v>
      </c>
      <c r="D9" s="24">
        <f>SUM(D5:D8)</f>
        <v>0</v>
      </c>
      <c r="E9" s="24">
        <f>SUM(E5:E8)</f>
        <v>0</v>
      </c>
      <c r="F9" s="24">
        <f>SUM(F5:F8)</f>
        <v>0</v>
      </c>
      <c r="G9" s="24">
        <f>SUM(G5:G8)</f>
        <v>0</v>
      </c>
      <c r="H9" s="24">
        <f>SUM(H5:H8)</f>
        <v>0</v>
      </c>
      <c r="I9" s="24">
        <f>SUM(I5:I8)</f>
        <v>23</v>
      </c>
      <c r="J9" s="25">
        <f>IF(B9=0,0,(B9-I9)/B9)</f>
        <v>0</v>
      </c>
    </row>
  </sheetData>
  <mergeCells count="2">
    <mergeCell ref="A1:J1"/>
    <mergeCell ref="A2:J2"/>
  </mergeCells>
  <conditionalFormatting sqref="J5:J9">
    <cfRule type="dataBar" priority="1">
      <dataBar showValue="1">
        <cfvo type="num" val="0"/>
        <cfvo type="num" val="1"/>
        <color rgb="0063BE7B"/>
      </dataBar>
    </cfRule>
  </conditionalFormatting>
  <conditionalFormatting sqref="D5:D9">
    <cfRule type="cellIs" priority="2" operator="greaterThan" dxfId="0">
      <formula>0</formula>
    </cfRule>
  </conditionalFormatting>
  <conditionalFormatting sqref="E5:E9">
    <cfRule type="cellIs" priority="3" operator="greaterThan" dxfId="0">
      <formula>0</formula>
    </cfRule>
  </conditionalFormatting>
  <conditionalFormatting sqref="H5:H9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인력·예산 — 인력 평가</t>
        </is>
      </c>
    </row>
    <row r="2" ht="24" customHeight="1">
      <c r="A2" s="26" t="inlineStr">
        <is>
          <t>🗂 QA박안전6 계정으로 하고, QA하정수6 줄만 시크릿 창에서 봅니다. 평가와 상신은 내 부서(문화체육과) 칸에서만 합니다 — 평가 완료와 상신 기록은 지울 수 없어 서버에 남습니다.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</v>
      </c>
      <c r="B4" s="3" t="inlineStr">
        <is>
          <t>QA박안전6(재난안전과)</t>
        </is>
      </c>
      <c r="C4" s="3" t="inlineStr">
        <is>
          <t>인력·예산 &gt; 인력 평가</t>
        </is>
      </c>
      <c r="D4" s="17" t="inlineStr">
        <is>
          <t>화면 열기</t>
        </is>
      </c>
      <c r="E4" s="3" t="inlineStr">
        <is>
          <t>① 메뉴로 들어간다
② 평가 결과의 평가 사이클을 다른 연도로 바꿨다가 되돌린다
③ 부서를 몇 개 바꿔 본다</t>
        </is>
      </c>
      <c r="F4" s="3" t="inlineStr">
        <is>
          <t>평가개요 · 평가 결과 · 평가 이력이 보인다. 사이클·부서를 바꾸면 표 머리와 대상자 줄이 그에 맞게 바뀐다</t>
        </is>
      </c>
      <c r="G4" s="29" t="n"/>
      <c r="H4" s="7" t="n"/>
      <c r="I4" s="7" t="n"/>
    </row>
    <row r="5" ht="111" customHeight="1">
      <c r="A5" s="28" t="n">
        <v>2</v>
      </c>
      <c r="B5" s="30" t="inlineStr">
        <is>
          <t>QA박안전6(재난안전과)</t>
        </is>
      </c>
      <c r="C5" s="30" t="inlineStr">
        <is>
          <t>인력·예산 &gt; 인력 평가</t>
        </is>
      </c>
      <c r="D5" s="17" t="inlineStr">
        <is>
          <t>나를 평가자로 지정</t>
        </is>
      </c>
      <c r="E5" s="3" t="inlineStr">
        <is>
          <t>① 부서를 내 부서(문화체육과)로 바꾼다
② 안전보건관리책임자 줄에서 평가자가 비어 있는 칸(상반기 또는 하반기)의 [평가자 선택]
③ 왼쪽에서 재난안전과를 누르고 오른쪽에서 내 QA박안전6 계정만 골라 [… 선택] (남의 계정은 고르지 않는다 — 한 번 넣으면 바꾸는 버튼이 없다)</t>
        </is>
      </c>
      <c r="F5" s="3" t="inlineStr">
        <is>
          <t>평가자 칸에 내 QA박안전6(번호까지) 이름이 정확히 보이고 옆 [평가등록] 버튼이 눌리는 상태가 된다. 조직도에 내 계정이 없거나 박안전 계정끼리 표시 이름이 같으면 «확인 불가»</t>
        </is>
      </c>
      <c r="G5" s="29" t="n"/>
      <c r="H5" s="7" t="n"/>
      <c r="I5" s="7" t="n"/>
    </row>
    <row r="6" ht="51" customHeight="1">
      <c r="A6" s="28" t="n">
        <v>3</v>
      </c>
      <c r="B6" s="3" t="inlineStr">
        <is>
          <t>QA하정수6(담당 공무원)</t>
        </is>
      </c>
      <c r="C6" s="30" t="inlineStr">
        <is>
          <t>인력·예산 &gt; 인력 평가</t>
        </is>
      </c>
      <c r="D6" s="17" t="inlineStr">
        <is>
          <t>배정된 평가자만 평가한다</t>
        </is>
      </c>
      <c r="E6" s="3" t="inlineStr">
        <is>
          <t>QA하정수6 창에서 같은 화면을 새로고침하고 부서를 내 부서(문화체육과)로 바꿔 2번 칸을 본다</t>
        </is>
      </c>
      <c r="F6" s="3" t="inlineStr">
        <is>
          <t>평가자 칸에 내 QA박안전6(번호까지) 이름이 보이고 [평가등록]이 흐려 눌리지 않는다</t>
        </is>
      </c>
      <c r="G6" s="29" t="n"/>
      <c r="H6" s="7" t="n"/>
      <c r="I6" s="7" t="n"/>
    </row>
    <row r="7" ht="111" customHeight="1">
      <c r="A7" s="28" t="n">
        <v>4</v>
      </c>
      <c r="B7" s="3" t="inlineStr">
        <is>
          <t>QA박안전6(재난안전과)</t>
        </is>
      </c>
      <c r="C7" s="30" t="inlineStr">
        <is>
          <t>인력·예산 &gt; 인력 평가</t>
        </is>
      </c>
      <c r="D7" s="17" t="inlineStr">
        <is>
          <t>임시저장과 평가 완료</t>
        </is>
      </c>
      <c r="E7" s="3" t="inlineStr">
        <is>
          <t>① 2번 칸의 [평가등록]
② 아무것도 고르지 않고 [임시저장]
③ 2~3개 항목만 골라 [임시저장]
④ 그 칸의 버튼을 다시 눌러 남은 항목을 고르되 한 항목만 «미흡», 나머지는 «양호»로 하고 [평가 완료]</t>
        </is>
      </c>
      <c r="F7" s="3" t="inlineStr">
        <is>
          <t>② «판정한 항목이 없어 임시저장할 내용이 없습니다» ③ 칸의 버튼이 «진행 중 N/M»으로 바뀌고(토스트 문구는 따지지 않는다) 다시 열면 고른 값이 남아 있다 ④ 다 고르기 전에는 [평가 완료]가 눌리지 않는다. 완료하면 그 칸에 평가일자와 종합 «미흡»이 뜨고(미흡이 하나라도 있으면 미흡) 아래 평가 이력에 한 줄 생긴다</t>
        </is>
      </c>
      <c r="G7" s="29" t="n"/>
      <c r="H7" s="7" t="n"/>
      <c r="I7" s="7" t="n"/>
    </row>
    <row r="8" ht="126" customHeight="1">
      <c r="A8" s="28" t="n">
        <v>5</v>
      </c>
      <c r="B8" s="30" t="inlineStr">
        <is>
          <t>QA박안전6(재난안전과)</t>
        </is>
      </c>
      <c r="C8" s="30" t="inlineStr">
        <is>
          <t>인력·예산 &gt; 인력 평가</t>
        </is>
      </c>
      <c r="D8" s="17" t="inlineStr">
        <is>
          <t>평가 결과 보고 상신</t>
        </is>
      </c>
      <c r="E8" s="3" t="inlineStr">
        <is>
          <t>① 부서가 내 부서(문화체육과)인 채 평가개요의 [결재상신]
② 미리보기를 보고 [온나라로 결재 상신]
③ [＋ 검토]로 빈 칸을 하나 늘린 채 [상신]
④ 늘린 칸을 [×]로 지우고, 검토·결재를 [조직도] &gt; 재난안전과에서 내 것이 아닌 박안전 계정 두 개로 고른 뒤 [상신]
⑤ [결재상신]을 다시 연다</t>
        </is>
      </c>
      <c r="F8" s="3" t="inlineStr">
        <is>
          <t>② 미리보기 «평가 결과 목록»에 4번 평가가 있다 ③ «지정하지 않은 단계가 N건 있습니다 — 조직도에서 결재자를 고르세요.»로 막힌다 ④ 상신되고 바로 결재완료(내부 처리)가 된다 ⑤ 이미 상신된 보고서라는 안내와 결재선(기안 → 검토 → 결재 세 계정)이 보인다</t>
        </is>
      </c>
      <c r="G8" s="29" t="n"/>
      <c r="H8" s="7" t="n"/>
      <c r="I8" s="7" t="n"/>
    </row>
    <row r="9" ht="81" customHeight="1">
      <c r="A9" s="28" t="n">
        <v>6</v>
      </c>
      <c r="B9" s="30" t="inlineStr">
        <is>
          <t>QA박안전6(재난안전과)</t>
        </is>
      </c>
      <c r="C9" s="30" t="inlineStr">
        <is>
          <t>인력·예산 &gt; 인력 평가</t>
        </is>
      </c>
      <c r="D9" s="17" t="inlineStr">
        <is>
          <t>평가 이력 조건</t>
        </is>
      </c>
      <c r="E9" s="3" t="inlineStr">
        <is>
          <t>① 사이클 · 부서 · 구분 · 결과를 하나씩 바꿔 본다
② 이름 칸에 4번에서 평가한 부서장 이름 일부를 넣고 [검색]
③ [초기화]</t>
        </is>
      </c>
      <c r="F9" s="3" t="inlineStr">
        <is>
          <t>조건에 맞는 줄만 남고 위 «완료된 평가 N건»이 줄 수와 같다. ②에서 4번 평가가 찾아진다. ③ 뒤 조건이 모두 «전체»로 돌아오고 이름 칸이 빈다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인력·예산 — 평가 현황·설정</t>
        </is>
      </c>
    </row>
    <row r="2" ht="24" customHeight="1">
      <c r="A2" s="26" t="inlineStr">
        <is>
          <t>🗂 QA박안전6 계정으로 하고, QA하정수6 줄만 시크릿 창에서 봅니다. 평가 항목은 모든 평가표가 같이 쓰므로 새로 저장하지 않고, 고친 것은 같은 줄에서 원래대로 되돌립니다.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7</v>
      </c>
      <c r="B4" s="3" t="inlineStr">
        <is>
          <t>QA박안전6(재난안전과)</t>
        </is>
      </c>
      <c r="C4" s="3" t="inlineStr">
        <is>
          <t>인력·예산 &gt; 평가 현황</t>
        </is>
      </c>
      <c r="D4" s="17" t="inlineStr">
        <is>
          <t>반기별 진행 현황</t>
        </is>
      </c>
      <c r="E4" s="3" t="inlineStr">
        <is>
          <t>연도 2026에서 ① [상반기]
② [하반기]
③ [전체]를 차례로 누르며 위 숫자 칸을 본다</t>
        </is>
      </c>
      <c r="F4" s="3" t="inlineStr">
        <is>
          <t>누를 때마다 평가 기간과 대상자 · 완료 · 진행 중 · 미시작 숫자가 바뀐다. «완료» 칸의 진행률(%)이 완료 ÷ 대상자와 맞다(반올림). [전체]는 평가 기간이 «2026 연간 (상·하반기 합산)»이다</t>
        </is>
      </c>
      <c r="G4" s="29" t="n"/>
      <c r="H4" s="7" t="n"/>
      <c r="I4" s="7" t="n"/>
    </row>
    <row r="5" ht="66" customHeight="1">
      <c r="A5" s="28" t="n">
        <v>8</v>
      </c>
      <c r="B5" s="30" t="inlineStr">
        <is>
          <t>QA박안전6(재난안전과)</t>
        </is>
      </c>
      <c r="C5" s="30" t="inlineStr">
        <is>
          <t>인력·예산 &gt; 평가 현황</t>
        </is>
      </c>
      <c r="D5" s="17" t="inlineStr">
        <is>
          <t>바로가기</t>
        </is>
      </c>
      <c r="E5" s="3" t="inlineStr">
        <is>
          <t>① 안전보건관리책임자 카드의 [템플릿 →]
② 뒤로 가서, 위에 마감 알림 줄이 있으면 [미시작 평가 시작 →]</t>
        </is>
      </c>
      <c r="F5" s="3" t="inlineStr">
        <is>
          <t>① 평가 설정으로 가서 그 역할 칸이 잠깐 강조된다 ② 인력 평가로 간다. 알림 줄은 평가 기간 중 미시작이 있을 때만 나오므로, 없으면 ①만 보고 고른다</t>
        </is>
      </c>
      <c r="G5" s="29" t="n"/>
      <c r="H5" s="7" t="n"/>
      <c r="I5" s="7" t="n"/>
    </row>
    <row r="6" ht="66" customHeight="1">
      <c r="A6" s="28" t="n">
        <v>9</v>
      </c>
      <c r="B6" s="30" t="inlineStr">
        <is>
          <t>QA박안전6(재난안전과)</t>
        </is>
      </c>
      <c r="C6" s="3" t="inlineStr">
        <is>
          <t>인력·예산 &gt; 평가 설정</t>
        </is>
      </c>
      <c r="D6" s="17" t="inlineStr">
        <is>
          <t>항목명 없이는 추가되지 않는다</t>
        </is>
      </c>
      <c r="E6" s="3" t="inlineStr">
        <is>
          <t>① 안전보건관리책임자 칸의 [항목 추가]
② 항목명을 비운 채 [저장]
③ [취소] (새 항목은 저장하지 않는다 — 지우는 기능이 없어 모든 평가표에 남는다)</t>
        </is>
      </c>
      <c r="F6" s="3" t="inlineStr">
        <is>
          <t>«항목명을 입력하세요.»가 뜨고 저장되지 않는다. [취소] 뒤 항목 수가 그대로다</t>
        </is>
      </c>
      <c r="G6" s="29" t="n"/>
      <c r="H6" s="7" t="n"/>
      <c r="I6" s="7" t="n"/>
    </row>
    <row r="7" ht="141" customHeight="1">
      <c r="A7" s="28" t="n">
        <v>10</v>
      </c>
      <c r="B7" s="30" t="inlineStr">
        <is>
          <t>QA박안전6(재난안전과)</t>
        </is>
      </c>
      <c r="C7" s="30" t="inlineStr">
        <is>
          <t>인력·예산 &gt; 평가 설정</t>
        </is>
      </c>
      <c r="D7" s="17" t="inlineStr">
        <is>
          <t>고치면 평가 화면에 반영된다</t>
        </is>
      </c>
      <c r="E7" s="3" t="inlineStr">
        <is>
          <t>① 안전보건관리책임자 1번 항목 [편집]
② 평가 기준 (가이드) 맨 끝에 «이혜린_확인»을 덧붙여 [저장] (다른 사람 글자가 붙어 있으면 건드리지 않는다)
③ 인력 평가 화면의 평가 이력에서 4번에 완료한 평가 [보기] → 1번 항목 [세부평가기준]을 펼친다
④ 평가 설정으로 돌아와 같은 항목을 [편집]해 내가 붙인 «이혜린_확인»만 지우고 [저장]</t>
        </is>
      </c>
      <c r="F7" s="3" t="inlineStr">
        <is>
          <t>② «저장되었습니다 — 평가화면에 반영됩니다.» ③ 덧붙인 «이혜린_확인»이 보인다 ④ 내 글자가 사라진다(다른 사람 글자는 남아 있을 수 있다)</t>
        </is>
      </c>
      <c r="G7" s="29" t="n"/>
      <c r="H7" s="7" t="n"/>
      <c r="I7" s="7" t="n"/>
    </row>
    <row r="8" ht="81" customHeight="1">
      <c r="A8" s="28" t="n">
        <v>11</v>
      </c>
      <c r="B8" s="3" t="inlineStr">
        <is>
          <t>QA하정수6(담당 공무원)</t>
        </is>
      </c>
      <c r="C8" s="3" t="inlineStr">
        <is>
          <t>인력·예산 &gt; 인력 평가</t>
        </is>
      </c>
      <c r="D8" s="17" t="inlineStr">
        <is>
          <t>기준값 설정 메뉴는 담당 공무원에게 닫혀 있다</t>
        </is>
      </c>
      <c r="E8" s="3" t="inlineStr">
        <is>
          <t>QA하정수6 창에서 인력·예산 메뉴를 누르고 왼쪽 메뉴 목록을 본다. 평가 설정·예산 기준 설정이 보이면 눌러 [항목 추가]·[원칙 등록·개정]을 눌러 본다(저장하지 않고 [취소])</t>
        </is>
      </c>
      <c r="F8" s="3" t="inlineStr">
        <is>
          <t>인력 평가 · 평가 현황 · 예산 총괄표는 있고, 평가 설정 · 예산 기준 설정은 없거나 들어가도 [항목 추가]·[원칙 등록·개정]이 막힌다. 메뉴가 보이고 버튼도 눌리면 FAIL로 두고 무엇이 눌렸는지 메모에 적는다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인력·예산 — 예산 기준 설정</t>
        </is>
      </c>
    </row>
    <row r="2" ht="24" customHeight="1">
      <c r="A2" s="26" t="inlineStr">
        <is>
          <t>🗂 QA박안전6 계정으로 합니다. 원칙·예산 항목·점검 대상은 모두가 같이 쓰는 기준값이라 내 이름을 붙여 만들고, 지울 수 있는 것은 같은 줄에서 지웁니다. 내 부서 점검 대상은 예산 총괄표에서 쓰므로 남겨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96" customHeight="1">
      <c r="A4" s="28" t="n">
        <v>12</v>
      </c>
      <c r="B4" s="3" t="inlineStr">
        <is>
          <t>QA박안전6(재난안전과)</t>
        </is>
      </c>
      <c r="C4" s="3" t="inlineStr">
        <is>
          <t>인력·예산 &gt; 예산 기준 설정</t>
        </is>
      </c>
      <c r="D4" s="17" t="inlineStr">
        <is>
          <t>원칙 등록</t>
        </is>
      </c>
      <c r="E4" s="3" t="inlineStr">
        <is>
          <t>① [원칙 등록·개정]
② 빈 채로 [저장]
③ 제목에 «이혜린_예산 원칙»만 넣고 [저장]
④ 시행일을 2000-01-01로 넣고 [저장] (옛 날짜로 넣어야 지금 원칙을 밀어내지 않는다 — 원칙은 지우는 기능이 없다)</t>
        </is>
      </c>
      <c r="F4" s="3" t="inlineStr">
        <is>
          <t>② «제목을 입력하세요.» ③ «시행일을 입력하세요.» ④ «원칙 문서가 개정 등록되었습니다.»가 뜨고 아래 개정 이력 표에 내 제목이 보인다(현행 원칙 칸은 다른 사람 등록에 따라 바뀔 수 있으니 판정하지 않는다)</t>
        </is>
      </c>
      <c r="G4" s="29" t="n"/>
      <c r="H4" s="7" t="n"/>
      <c r="I4" s="7" t="n"/>
    </row>
    <row r="5" ht="126" customHeight="1">
      <c r="A5" s="28" t="n">
        <v>13</v>
      </c>
      <c r="B5" s="30" t="inlineStr">
        <is>
          <t>QA박안전6(재난안전과)</t>
        </is>
      </c>
      <c r="C5" s="30" t="inlineStr">
        <is>
          <t>인력·예산 &gt; 예산 기준 설정</t>
        </is>
      </c>
      <c r="D5" s="17" t="inlineStr">
        <is>
          <t>예산 항목 추가·수정·삭제</t>
        </is>
      </c>
      <c r="E5" s="3" t="inlineStr">
        <is>
          <t>① [+ 대분류 추가] → 빈 채로 [확인]
② «이혜린_대분류»로 [확인]
③ 그 줄의 [+ 하위] → «이혜린_하위»로 [확인]
④ 하위 줄 [수정] → «이혜린_하위2»로 [확인]
⑤ «이혜린_대분류» 줄 [삭제]
⑥ «이혜린_하위2» 줄 [삭제] → «이혜린_대분류» 줄 [삭제]</t>
        </is>
      </c>
      <c r="F5" s="3" t="inlineStr">
        <is>
          <t>① «항목명을 입력하세요.» ②~④ «저장되었습니다.»와 함께 트리에 보이고 이름이 바뀐다 ⑤ «하위 항목이 있어 삭제할 수 없습니다. 하위 항목을 먼저 삭제하세요.» ⑥ «항목이 삭제되었습니다.»와 함께 둘 다 사라진다</t>
        </is>
      </c>
      <c r="G5" s="29" t="n"/>
      <c r="H5" s="7" t="n"/>
      <c r="I5" s="7" t="n"/>
    </row>
    <row r="6" ht="81" customHeight="1">
      <c r="A6" s="28" t="n">
        <v>14</v>
      </c>
      <c r="B6" s="30" t="inlineStr">
        <is>
          <t>QA박안전6(재난안전과)</t>
        </is>
      </c>
      <c r="C6" s="30" t="inlineStr">
        <is>
          <t>인력·예산 &gt; 예산 기준 설정</t>
        </is>
      </c>
      <c r="D6" s="17" t="inlineStr">
        <is>
          <t>점검 대상 추가</t>
        </is>
      </c>
      <c r="E6" s="3" t="inlineStr">
        <is>
          <t>① 점검 대상 관리의 [+ 기관 추가]
② 아무것도 고르지 않고 [선택 추가 (0건)]
③ 검색 칸에 내 부서 이름 일부를 넣고 내 부서(문화체육과)를 체크 → [선택 추가 (1건)]
④ [+ 시설 추가] → 목록만 보고 [취소]</t>
        </is>
      </c>
      <c r="F6" s="3" t="inlineStr">
        <is>
          <t>② «추가할 대상을 선택하세요.» ③ «1건이 추가되었습니다.»와 함께 기관 목록에 내 부서가 생긴다(이미 «등록됨»이면 ③은 건너뛴다) ④ 시설물 대장의 시설이 종·등급과 함께 보인다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인력·예산 — 예산 총괄표</t>
        </is>
      </c>
    </row>
    <row r="2" ht="24" customHeight="1">
      <c r="A2" s="26" t="inlineStr">
        <is>
          <t>🗂 QA박안전6 계정으로 합니다. 점검표는 내 부서(문화체육과) 대상으로만 만들고, 다른 사람 점검표는 열어 보기만 합니다. 승인완료된 점검표는 지울 수 없어 서버에 남습니다.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96" customHeight="1">
      <c r="A4" s="28" t="n">
        <v>15</v>
      </c>
      <c r="B4" s="3" t="inlineStr">
        <is>
          <t>QA박안전6(재난안전과)</t>
        </is>
      </c>
      <c r="C4" s="3" t="inlineStr">
        <is>
          <t>인력·예산 &gt; 예산 총괄표</t>
        </is>
      </c>
      <c r="D4" s="17" t="inlineStr">
        <is>
          <t>점검표 만들기</t>
        </is>
      </c>
      <c r="E4" s="3" t="inlineStr">
        <is>
          <t>① [+ 점검표 생성]
② 대상을 고르지 않고 [생성]
③ 연도 2026 · 대상구분 기관 · 대상 내 부서(문화체육과)를 고르고, 예방 항목 없이 [생성]
④ 대분류 하나를 체크하고 [생성] (대상에 내 부서가 없으면 14번을 먼저)</t>
        </is>
      </c>
      <c r="F4" s="3" t="inlineStr">
        <is>
          <t>② «대상을 선택하세요.» ③ «예방 항목을 1개 이상 선택하세요.» ④ 대분류를 체크하면 하위가 함께 체크된다. «점검표가 생성되었습니다.»와 함께 2026년 내 부서 점검표 상세가 «작성중»으로 열린다</t>
        </is>
      </c>
      <c r="G4" s="29" t="n"/>
      <c r="H4" s="7" t="n"/>
      <c r="I4" s="7" t="n"/>
    </row>
    <row r="5" ht="66" customHeight="1">
      <c r="A5" s="28" t="n">
        <v>16</v>
      </c>
      <c r="B5" s="30" t="inlineStr">
        <is>
          <t>QA박안전6(재난안전과)</t>
        </is>
      </c>
      <c r="C5" s="30" t="inlineStr">
        <is>
          <t>인력·예산 &gt; 예산 총괄표</t>
        </is>
      </c>
      <c r="D5" s="17" t="inlineStr">
        <is>
          <t>같은 해·같은 대상은 하나만</t>
        </is>
      </c>
      <c r="E5" s="3" t="inlineStr">
        <is>
          <t>① [+ 점검표 생성]
② 15번과 같이 2026 · 기관 · 내 부서, 대분류 하나로 [생성]
③ 연도만 2025로 바꿔 [생성]</t>
        </is>
      </c>
      <c r="F5" s="3" t="inlineStr">
        <is>
          <t>② «이미 2026년 문화체육과 점검표가 있습니다.»로 막힌다 ③ 2025년 내 부서 점검표가 «작성중»으로 만들어진다</t>
        </is>
      </c>
      <c r="G5" s="29" t="n"/>
      <c r="H5" s="7" t="n"/>
      <c r="I5" s="7" t="n"/>
    </row>
    <row r="6" ht="66" customHeight="1">
      <c r="A6" s="28" t="n">
        <v>17</v>
      </c>
      <c r="B6" s="30" t="inlineStr">
        <is>
          <t>QA박안전6(재난안전과)</t>
        </is>
      </c>
      <c r="C6" s="30" t="inlineStr">
        <is>
          <t>인력·예산 &gt; 예산 총괄표</t>
        </is>
      </c>
      <c r="D6" s="17" t="inlineStr">
        <is>
          <t>작성중 점검표 삭제</t>
        </is>
      </c>
      <c r="E6" s="3" t="inlineStr">
        <is>
          <t>① [← 목록]으로 가서 연도를 2025로 둔다
② 16번에서 만든 2025년 내 부서 줄의 [삭제] → 확인 창에서 [취소]
③ 다시 [삭제] → [확인]</t>
        </is>
      </c>
      <c r="F6" s="3" t="inlineStr">
        <is>
          <t>확인 창이 먼저 묻고, [취소]하면 그대로다. [확인]하면 «점검표가 삭제되었습니다.»와 함께 목록에서 사라진다</t>
        </is>
      </c>
      <c r="G6" s="29" t="n"/>
      <c r="H6" s="7" t="n"/>
      <c r="I6" s="7" t="n"/>
    </row>
    <row r="7" ht="96" customHeight="1">
      <c r="A7" s="28" t="n">
        <v>18</v>
      </c>
      <c r="B7" s="30" t="inlineStr">
        <is>
          <t>QA박안전6(재난안전과)</t>
        </is>
      </c>
      <c r="C7" s="30" t="inlineStr">
        <is>
          <t>인력·예산 &gt; 예산 총괄표</t>
        </is>
      </c>
      <c r="D7" s="17" t="inlineStr">
        <is>
          <t>편성액 없이는 상신되지 않는다</t>
        </is>
      </c>
      <c r="E7" s="3" t="inlineStr">
        <is>
          <t>① 15번의 2026년 내 부서 점검표를 [조회]로 연다
② 편성액을 넣지 않고 [온나라 결재 상신]
③ 결재선 창에서 검토·결재를 [조직도] &gt; 재난안전과에서 내 것이 아닌 박안전 계정 두 개로 고른 뒤 [상신]</t>
        </is>
      </c>
      <c r="F7" s="3" t="inlineStr">
        <is>
          <t>«편성액 합계가 0원인 점검표는 상신할 수 없습니다.»로 막히고 상태는 «작성중» 그대로다</t>
        </is>
      </c>
      <c r="G7" s="29" t="n"/>
      <c r="H7" s="7" t="n"/>
      <c r="I7" s="7" t="n"/>
    </row>
    <row r="8" ht="66" customHeight="1">
      <c r="A8" s="28" t="n">
        <v>19</v>
      </c>
      <c r="B8" s="30" t="inlineStr">
        <is>
          <t>QA박안전6(재난안전과)</t>
        </is>
      </c>
      <c r="C8" s="30" t="inlineStr">
        <is>
          <t>인력·예산 &gt; 예산 총괄표</t>
        </is>
      </c>
      <c r="D8" s="17" t="inlineStr">
        <is>
          <t>상신하면 결재가 바로 끝난다</t>
        </is>
      </c>
      <c r="E8" s="3" t="inlineStr">
        <is>
          <t>① 18번 점검표에서 항목마다 편성액을 넣는다
② [온나라 결재 상신] → 결재선이 18번에 고른 그대로인지 보고(비었으면 같은 방식으로 고른다) [상신] → [확인]</t>
        </is>
      </c>
      <c r="F8" s="3" t="inlineStr">
        <is>
          <t>① 칸마다 «저장됨» ② 문서번호가 붙고 상태가 바로 «승인완료»(내부 처리)다</t>
        </is>
      </c>
      <c r="G8" s="29" t="n"/>
      <c r="H8" s="7" t="n"/>
      <c r="I8" s="7" t="n"/>
    </row>
    <row r="9" ht="66" customHeight="1">
      <c r="A9" s="28" t="n">
        <v>20</v>
      </c>
      <c r="B9" s="30" t="inlineStr">
        <is>
          <t>QA박안전6(재난안전과)</t>
        </is>
      </c>
      <c r="C9" s="30" t="inlineStr">
        <is>
          <t>인력·예산 &gt; 예산 총괄표</t>
        </is>
      </c>
      <c r="D9" s="17" t="inlineStr">
        <is>
          <t>결재 상태 창</t>
        </is>
      </c>
      <c r="E9" s="3" t="inlineStr">
        <is>
          <t>① 같은 점검표의 결재 상태 창을 연다
② [이력]</t>
        </is>
      </c>
      <c r="F9" s="3" t="inlineStr">
        <is>
          <t>결재완료 · «내부 처리»로 보이고 19번 결재선이 남아 있다. 결과를 옮겨 적는 버튼은 없다. 이력에 결재 상신이 처리자(QA박안전6 계정)와 함께 있다</t>
        </is>
      </c>
      <c r="G9" s="29" t="n"/>
      <c r="H9" s="7" t="n"/>
      <c r="I9" s="7" t="n"/>
    </row>
    <row r="10" ht="81" customHeight="1">
      <c r="A10" s="28" t="n">
        <v>21</v>
      </c>
      <c r="B10" s="30" t="inlineStr">
        <is>
          <t>QA박안전6(재난안전과)</t>
        </is>
      </c>
      <c r="C10" s="30" t="inlineStr">
        <is>
          <t>인력·예산 &gt; 예산 총괄표</t>
        </is>
      </c>
      <c r="D10" s="17" t="inlineStr">
        <is>
          <t>승인 뒤 집행액 입력</t>
        </is>
      </c>
      <c r="E10" s="3" t="inlineStr">
        <is>
          <t>① 항목마다 집행액·비고를 넣는다
② 편성액 칸을 고쳐 본다
③ [← 목록]에서 이 점검표 줄을 본다</t>
        </is>
      </c>
      <c r="F10" s="3" t="inlineStr">
        <is>
          <t>«승인 완료 — 집행액·비고는 계속 입력할 수 있습니다. (편성액은 잠금)»이 보인다. 집행액을 넣으면 «저장됨»과 함께 집행률·합계가 바로 바뀐다. 편성액 칸은 잠겨 있다. 목록의 이 줄은 «승인완료»이고 [삭제]가 없다</t>
        </is>
      </c>
      <c r="G10" s="29" t="n"/>
      <c r="H10" s="7" t="n"/>
      <c r="I10" s="7" t="n"/>
    </row>
    <row r="11" ht="81" customHeight="1">
      <c r="A11" s="28" t="n">
        <v>22</v>
      </c>
      <c r="B11" s="30" t="inlineStr">
        <is>
          <t>QA박안전6(재난안전과)</t>
        </is>
      </c>
      <c r="C11" s="30" t="inlineStr">
        <is>
          <t>인력·예산 &gt; 예산 총괄표</t>
        </is>
      </c>
      <c r="D11" s="17" t="inlineStr">
        <is>
          <t>합계와 조건</t>
        </is>
      </c>
      <c r="E11" s="3" t="inlineStr">
        <is>
          <t>① 연도를 2026으로 둔다
② 대상구분(기관·시설)과 상태(작성중·결재중·승인완료·반려)를 바꿔 본다
③ 위 총 편성액 · 총 집행액 · 집행률 카드를 표 맨 아래 합계 줄과 비교한다</t>
        </is>
      </c>
      <c r="F11" s="3" t="inlineStr">
        <is>
          <t>카드의 금액·집행률이 합계 줄과 같고 조건을 바꾸면 함께 바뀐다. 총 편성액 카드 아래 «2026년 점검표 N건»이 표 줄 수와 같다. 상태를 «승인완료»로 거르면 내 점검표가 있다</t>
        </is>
      </c>
      <c r="G11" s="29" t="n"/>
      <c r="H11" s="7" t="n"/>
      <c r="I11" s="7" t="n"/>
    </row>
    <row r="12" ht="51" customHeight="1">
      <c r="A12" s="28" t="n">
        <v>23</v>
      </c>
      <c r="B12" s="30" t="inlineStr">
        <is>
          <t>QA박안전6(재난안전과)</t>
        </is>
      </c>
      <c r="C12" s="3" t="inlineStr">
        <is>
          <t>인력·예산 &gt; 예산 기준 설정</t>
        </is>
      </c>
      <c r="D12" s="17" t="inlineStr">
        <is>
          <t>점검표가 쓰는 대상은 못 지운다</t>
        </is>
      </c>
      <c r="E12" s="3" t="inlineStr">
        <is>
          <t>점검 대상 관리의 기관 목록에서 내 부서(문화체육과) 줄의 [삭제]</t>
        </is>
      </c>
      <c r="F12" s="3" t="inlineStr">
        <is>
          <t>줄에 «사용 중»이 붙어 있고 «점검표에서 사용 중인 대상은 삭제할 수 없습니다.»가 뜨며 줄이 남는다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인력·예산</t>
        </is>
      </c>
    </row>
    <row r="3">
      <c r="A3" t="inlineStr">
        <is>
          <t>담당자</t>
        </is>
      </c>
      <c r="B3" t="inlineStr">
        <is>
          <t>이혜린</t>
        </is>
      </c>
    </row>
    <row r="4">
      <c r="A4" t="inlineStr">
        <is>
          <t>파일 코드</t>
        </is>
      </c>
      <c r="B4" t="inlineStr">
        <is>
          <t>EV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