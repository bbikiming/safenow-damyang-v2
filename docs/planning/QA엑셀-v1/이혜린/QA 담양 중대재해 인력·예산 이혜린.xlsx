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인력 평가" sheetId="3" state="visible" r:id="rId3"/>
    <sheet xmlns:r="http://schemas.openxmlformats.org/officeDocument/2006/relationships" name="평가 현황·설정" sheetId="4" state="visible" r:id="rId4"/>
    <sheet xmlns:r="http://schemas.openxmlformats.org/officeDocument/2006/relationships" name="예산 총괄표" sheetId="5" state="visible" r:id="rId5"/>
    <sheet xmlns:r="http://schemas.openxmlformats.org/officeDocument/2006/relationships" name="예산 기준 설정" sheetId="6" state="visible" r:id="rId6"/>
    <sheet xmlns:r="http://schemas.openxmlformats.org/officeDocument/2006/relationships" name="_정보" sheetId="7" state="hidden" r:id="rId7"/>
  </sheets>
  <definedNames>
    <definedName name="_xlnm._FilterDatabase" localSheetId="2" hidden="1">'인력 평가'!$A$3:$I$8</definedName>
    <definedName name="_xlnm.Print_Titles" localSheetId="2">'인력 평가'!$3:$3</definedName>
    <definedName name="_xlnm._FilterDatabase" localSheetId="3" hidden="1">'평가 현황·설정'!$A$3:$I$5</definedName>
    <definedName name="_xlnm.Print_Titles" localSheetId="3">'평가 현황·설정'!$3:$3</definedName>
    <definedName name="_xlnm._FilterDatabase" localSheetId="4" hidden="1">'예산 총괄표'!$A$3:$I$8</definedName>
    <definedName name="_xlnm.Print_Titles" localSheetId="4">'예산 총괄표'!$3:$3</definedName>
    <definedName name="_xlnm._FilterDatabase" localSheetId="5" hidden="1">'예산 기준 설정'!$A$3:$I$6</definedName>
    <definedName name="_xlnm.Print_Titles" localSheetId="5">'예산 기준 설정'!$3:$3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인력·예산 · 이혜린</t>
        </is>
      </c>
    </row>
    <row r="3" ht="22" customHeight="1">
      <c r="A3" s="2" t="inlineStr">
        <is>
          <t>메뉴</t>
        </is>
      </c>
      <c r="B3" s="3" t="inlineStr">
        <is>
          <t>인력·예산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이혜린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인력 평가(인력 평가 · 평가 현황 · 평가 설정)와 예산 관리(예산 총괄표 · 예산 기준 설정)를 봅니다. 상신은 담당자만 합니다.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15줄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인력 평가 → 평가 현황·설정 → 예산 총괄표 → 예산 기준 설정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인력·예산 · 이혜린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인력 평가</t>
        </is>
      </c>
      <c r="B5" s="21">
        <f>COUNTA('인력 평가'!$A$4:$A$8)</f>
        <v>5</v>
      </c>
      <c r="C5" s="21">
        <f>COUNTIF('인력 평가'!$G$4:$G$8,"성공")</f>
        <v>0</v>
      </c>
      <c r="D5" s="21">
        <f>COUNTIF('인력 평가'!$G$4:$G$8,"실패")</f>
        <v>0</v>
      </c>
      <c r="E5" s="21">
        <f>COUNTIF('인력 평가'!$G$4:$G$8,"오류")</f>
        <v>0</v>
      </c>
      <c r="F5" s="21">
        <f>COUNTIF('인력 평가'!$G$4:$G$8,"보류")</f>
        <v>0</v>
      </c>
      <c r="G5" s="21">
        <f>COUNTIF('인력 평가'!$G$4:$G$8,"확인 불가")</f>
        <v>0</v>
      </c>
      <c r="H5" s="21">
        <f>COUNTIF('인력 평가'!$G$4:$G$8,"문의")</f>
        <v>0</v>
      </c>
      <c r="I5" s="21">
        <f>COUNTBLANK('인력 평가'!$G$4:$G$8)</f>
        <v>5</v>
      </c>
      <c r="J5" s="22">
        <f>IF(B5=0,0,(B5-I5)/B5)</f>
        <v>0</v>
      </c>
    </row>
    <row r="6" ht="22" customHeight="1">
      <c r="A6" s="20" t="inlineStr">
        <is>
          <t>평가 현황·설정</t>
        </is>
      </c>
      <c r="B6" s="21">
        <f>COUNTA('평가 현황·설정'!$A$4:$A$5)</f>
        <v>2</v>
      </c>
      <c r="C6" s="21">
        <f>COUNTIF('평가 현황·설정'!$G$4:$G$5,"성공")</f>
        <v>0</v>
      </c>
      <c r="D6" s="21">
        <f>COUNTIF('평가 현황·설정'!$G$4:$G$5,"실패")</f>
        <v>0</v>
      </c>
      <c r="E6" s="21">
        <f>COUNTIF('평가 현황·설정'!$G$4:$G$5,"오류")</f>
        <v>0</v>
      </c>
      <c r="F6" s="21">
        <f>COUNTIF('평가 현황·설정'!$G$4:$G$5,"보류")</f>
        <v>0</v>
      </c>
      <c r="G6" s="21">
        <f>COUNTIF('평가 현황·설정'!$G$4:$G$5,"확인 불가")</f>
        <v>0</v>
      </c>
      <c r="H6" s="21">
        <f>COUNTIF('평가 현황·설정'!$G$4:$G$5,"문의")</f>
        <v>0</v>
      </c>
      <c r="I6" s="21">
        <f>COUNTBLANK('평가 현황·설정'!$G$4:$G$5)</f>
        <v>2</v>
      </c>
      <c r="J6" s="22">
        <f>IF(B6=0,0,(B6-I6)/B6)</f>
        <v>0</v>
      </c>
    </row>
    <row r="7" ht="22" customHeight="1">
      <c r="A7" s="20" t="inlineStr">
        <is>
          <t>예산 총괄표</t>
        </is>
      </c>
      <c r="B7" s="21">
        <f>COUNTA('예산 총괄표'!$A$4:$A$8)</f>
        <v>5</v>
      </c>
      <c r="C7" s="21">
        <f>COUNTIF('예산 총괄표'!$G$4:$G$8,"성공")</f>
        <v>0</v>
      </c>
      <c r="D7" s="21">
        <f>COUNTIF('예산 총괄표'!$G$4:$G$8,"실패")</f>
        <v>0</v>
      </c>
      <c r="E7" s="21">
        <f>COUNTIF('예산 총괄표'!$G$4:$G$8,"오류")</f>
        <v>0</v>
      </c>
      <c r="F7" s="21">
        <f>COUNTIF('예산 총괄표'!$G$4:$G$8,"보류")</f>
        <v>0</v>
      </c>
      <c r="G7" s="21">
        <f>COUNTIF('예산 총괄표'!$G$4:$G$8,"확인 불가")</f>
        <v>0</v>
      </c>
      <c r="H7" s="21">
        <f>COUNTIF('예산 총괄표'!$G$4:$G$8,"문의")</f>
        <v>0</v>
      </c>
      <c r="I7" s="21">
        <f>COUNTBLANK('예산 총괄표'!$G$4:$G$8)</f>
        <v>5</v>
      </c>
      <c r="J7" s="22">
        <f>IF(B7=0,0,(B7-I7)/B7)</f>
        <v>0</v>
      </c>
    </row>
    <row r="8" ht="22" customHeight="1">
      <c r="A8" s="20" t="inlineStr">
        <is>
          <t>예산 기준 설정</t>
        </is>
      </c>
      <c r="B8" s="21">
        <f>COUNTA('예산 기준 설정'!$A$4:$A$6)</f>
        <v>3</v>
      </c>
      <c r="C8" s="21">
        <f>COUNTIF('예산 기준 설정'!$G$4:$G$6,"성공")</f>
        <v>0</v>
      </c>
      <c r="D8" s="21">
        <f>COUNTIF('예산 기준 설정'!$G$4:$G$6,"실패")</f>
        <v>0</v>
      </c>
      <c r="E8" s="21">
        <f>COUNTIF('예산 기준 설정'!$G$4:$G$6,"오류")</f>
        <v>0</v>
      </c>
      <c r="F8" s="21">
        <f>COUNTIF('예산 기준 설정'!$G$4:$G$6,"보류")</f>
        <v>0</v>
      </c>
      <c r="G8" s="21">
        <f>COUNTIF('예산 기준 설정'!$G$4:$G$6,"확인 불가")</f>
        <v>0</v>
      </c>
      <c r="H8" s="21">
        <f>COUNTIF('예산 기준 설정'!$G$4:$G$6,"문의")</f>
        <v>0</v>
      </c>
      <c r="I8" s="21">
        <f>COUNTBLANK('예산 기준 설정'!$G$4:$G$6)</f>
        <v>3</v>
      </c>
      <c r="J8" s="22">
        <f>IF(B8=0,0,(B8-I8)/B8)</f>
        <v>0</v>
      </c>
    </row>
    <row r="9" ht="24" customHeight="1">
      <c r="A9" s="23" t="inlineStr">
        <is>
          <t>합계</t>
        </is>
      </c>
      <c r="B9" s="24">
        <f>SUM(B5:B8)</f>
        <v>15</v>
      </c>
      <c r="C9" s="24">
        <f>SUM(C5:C8)</f>
        <v>0</v>
      </c>
      <c r="D9" s="24">
        <f>SUM(D5:D8)</f>
        <v>0</v>
      </c>
      <c r="E9" s="24">
        <f>SUM(E5:E8)</f>
        <v>0</v>
      </c>
      <c r="F9" s="24">
        <f>SUM(F5:F8)</f>
        <v>0</v>
      </c>
      <c r="G9" s="24">
        <f>SUM(G5:G8)</f>
        <v>0</v>
      </c>
      <c r="H9" s="24">
        <f>SUM(H5:H8)</f>
        <v>0</v>
      </c>
      <c r="I9" s="24">
        <f>SUM(I5:I8)</f>
        <v>15</v>
      </c>
      <c r="J9" s="25">
        <f>IF(B9=0,0,(B9-I9)/B9)</f>
        <v>0</v>
      </c>
    </row>
  </sheetData>
  <mergeCells count="2">
    <mergeCell ref="A1:J1"/>
    <mergeCell ref="A2:J2"/>
  </mergeCells>
  <conditionalFormatting sqref="J5:J9">
    <cfRule type="dataBar" priority="1">
      <dataBar showValue="1">
        <cfvo type="num" val="0"/>
        <cfvo type="num" val="1"/>
        <color rgb="0063BE7B"/>
      </dataBar>
    </cfRule>
  </conditionalFormatting>
  <conditionalFormatting sqref="D5:D9">
    <cfRule type="cellIs" priority="2" operator="greaterThan" dxfId="0">
      <formula>0</formula>
    </cfRule>
  </conditionalFormatting>
  <conditionalFormatting sqref="E5:E9">
    <cfRule type="cellIs" priority="3" operator="greaterThan" dxfId="0">
      <formula>0</formula>
    </cfRule>
  </conditionalFormatting>
  <conditionalFormatting sqref="H5:H9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인력·예산 — 인력 평가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인력·예산 &gt; 인력 평가</t>
        </is>
      </c>
      <c r="D4" s="17" t="inlineStr">
        <is>
          <t>화면 열기</t>
        </is>
      </c>
      <c r="E4" s="3" t="inlineStr">
        <is>
          <t>연도·부서를 바꾼다</t>
        </is>
      </c>
      <c r="F4" s="3" t="inlineStr">
        <is>
          <t>평가개요 · 결과 · 이력이 뜨고 조건대로 바뀐다</t>
        </is>
      </c>
      <c r="G4" s="29" t="n"/>
      <c r="H4" s="7" t="n"/>
      <c r="I4" s="7" t="n"/>
    </row>
    <row r="5" ht="36" customHeight="1">
      <c r="A5" s="28" t="n">
        <v>2</v>
      </c>
      <c r="B5" s="30" t="inlineStr">
        <is>
          <t>박안전</t>
        </is>
      </c>
      <c r="C5" s="30" t="inlineStr">
        <is>
          <t>인력·예산 &gt; 인력 평가</t>
        </is>
      </c>
      <c r="D5" s="17" t="inlineStr">
        <is>
          <t>평가 등록</t>
        </is>
      </c>
      <c r="E5" s="3" t="inlineStr">
        <is>
          <t>[평가등록] → [평가자 선택](조직도) → 점수 입력 → 저장</t>
        </is>
      </c>
      <c r="F5" s="3" t="inlineStr">
        <is>
          <t>평가자를 조직도에서 고르고, 저장하면 결과에 반영된다. 빈 칸이면 막힌다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인력·예산 &gt; 인력 평가</t>
        </is>
      </c>
      <c r="D6" s="17" t="inlineStr">
        <is>
          <t>결재 상신</t>
        </is>
      </c>
      <c r="E6" s="3" t="inlineStr">
        <is>
          <t>[결재상신] → 결재선 지정 → 상신 → 화면을 다시 연다</t>
        </is>
      </c>
      <c r="F6" s="3" t="inlineStr">
        <is>
          <t>결재선(기안 · 검토 · 결재)을 다 채워야 상신된다. 위에 문서번호·결재일·결재선이 보인다</t>
        </is>
      </c>
      <c r="G6" s="29" t="n"/>
      <c r="H6" s="7" t="n"/>
      <c r="I6" s="7" t="n"/>
    </row>
    <row r="7" ht="36" customHeight="1">
      <c r="A7" s="28" t="n">
        <v>4</v>
      </c>
      <c r="B7" s="3" t="inlineStr">
        <is>
          <t>홍길동 → 김담양</t>
        </is>
      </c>
      <c r="C7" s="30" t="inlineStr">
        <is>
          <t>인력·예산 &gt; 인력 평가</t>
        </is>
      </c>
      <c r="D7" s="17" t="inlineStr">
        <is>
          <t>과장·군수는 상신하지 않는다</t>
        </is>
      </c>
      <c r="E7" s="3" t="inlineStr">
        <is>
          <t>[결재상신]을 본다</t>
        </is>
      </c>
      <c r="F7" s="3" t="inlineStr">
        <is>
          <t>버튼이 없거나, 누르면 «상신은 담당자가 합니다…»로 막힌다(상신 창이 열리면 실패)</t>
        </is>
      </c>
      <c r="G7" s="29" t="n"/>
      <c r="H7" s="7" t="n"/>
      <c r="I7" s="7" t="n"/>
    </row>
    <row r="8" ht="36" customHeight="1">
      <c r="A8" s="28" t="n">
        <v>5</v>
      </c>
      <c r="B8" s="3" t="inlineStr">
        <is>
          <t>박안전</t>
        </is>
      </c>
      <c r="C8" s="30" t="inlineStr">
        <is>
          <t>인력·예산 &gt; 인력 평가</t>
        </is>
      </c>
      <c r="D8" s="17" t="inlineStr">
        <is>
          <t>평가 이력 조건</t>
        </is>
      </c>
      <c r="E8" s="3" t="inlineStr">
        <is>
          <t>주기 · 부서 · 역할 · 결과 + 이름 검색 → [초기화]</t>
        </is>
      </c>
      <c r="F8" s="3" t="inlineStr">
        <is>
          <t>조건대로 걸러지고 초기화하면 전체로 돌아온다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인력·예산 — 평가 현황·설정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6</v>
      </c>
      <c r="B4" s="3" t="inlineStr">
        <is>
          <t>박안전</t>
        </is>
      </c>
      <c r="C4" s="3" t="inlineStr">
        <is>
          <t>인력·예산 &gt; 평가 현황</t>
        </is>
      </c>
      <c r="D4" s="17" t="inlineStr">
        <is>
          <t>진행 현황</t>
        </is>
      </c>
      <c r="E4" s="3" t="inlineStr">
        <is>
          <t>[상반기] · [하반기] · [전체] → [평가 시작 →]</t>
        </is>
      </c>
      <c r="F4" s="3" t="inlineStr">
        <is>
          <t>진행률이 바뀌고 평가 시작은 인력 평가로 간다</t>
        </is>
      </c>
      <c r="G4" s="29" t="n"/>
      <c r="H4" s="7" t="n"/>
      <c r="I4" s="7" t="n"/>
    </row>
    <row r="5" ht="51" customHeight="1">
      <c r="A5" s="28" t="n">
        <v>7</v>
      </c>
      <c r="B5" s="30" t="inlineStr">
        <is>
          <t>박안전</t>
        </is>
      </c>
      <c r="C5" s="3" t="inlineStr">
        <is>
          <t>인력·예산 &gt; 평가 설정</t>
        </is>
      </c>
      <c r="D5" s="17" t="inlineStr">
        <is>
          <t>항목 추가·편집</t>
        </is>
      </c>
      <c r="E5" s="3" t="inlineStr">
        <is>
          <t>[항목 추가] → 빈 채로 저장 → 채워서 → 한 항목 [편집] 저장 → 인력 평가 화면을 본다</t>
        </is>
      </c>
      <c r="F5" s="3" t="inlineStr">
        <is>
          <t>빈 채로는 «항목명을 입력하세요.» 저장하면 «저장되었습니다 — 평가화면에 반영됩니다.», 인력 평가에 실제로 보인다</t>
        </is>
      </c>
      <c r="G5" s="29" t="n"/>
      <c r="H5" s="7" t="n"/>
      <c r="I5" s="7" t="n"/>
    </row>
  </sheetData>
  <autoFilter ref="A3:I5"/>
  <mergeCells count="2">
    <mergeCell ref="A1:I1"/>
    <mergeCell ref="A2:I2"/>
  </mergeCells>
  <conditionalFormatting sqref="G4:G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5">
    <cfRule type="expression" priority="7" dxfId="7">
      <formula>AND(OR($G4="실패",$G4="오류",$G4="문의"),$H4="")</formula>
    </cfRule>
  </conditionalFormatting>
  <dataValidations count="1">
    <dataValidation sqref="G4:G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인력·예산 — 예산 총괄표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8</v>
      </c>
      <c r="B4" s="3" t="inlineStr">
        <is>
          <t>박안전</t>
        </is>
      </c>
      <c r="C4" s="3" t="inlineStr">
        <is>
          <t>인력·예산 &gt; 예산 총괄표</t>
        </is>
      </c>
      <c r="D4" s="17" t="inlineStr">
        <is>
          <t>화면과 합계</t>
        </is>
      </c>
      <c r="E4" s="3" t="inlineStr">
        <is>
          <t>연도 · 유형 · 상태 조건을 바꾼다</t>
        </is>
      </c>
      <c r="F4" s="3" t="inlineStr">
        <is>
          <t>총 편성액·집행액·집행률이 표 합계와 같고 조건대로 바뀐다</t>
        </is>
      </c>
      <c r="G4" s="29" t="n"/>
      <c r="H4" s="7" t="n"/>
      <c r="I4" s="7" t="n"/>
    </row>
    <row r="5" ht="36" customHeight="1">
      <c r="A5" s="28" t="n">
        <v>9</v>
      </c>
      <c r="B5" s="30" t="inlineStr">
        <is>
          <t>박안전</t>
        </is>
      </c>
      <c r="C5" s="30" t="inlineStr">
        <is>
          <t>인력·예산 &gt; 예산 총괄표</t>
        </is>
      </c>
      <c r="D5" s="17" t="inlineStr">
        <is>
          <t>점검표 만들기</t>
        </is>
      </c>
      <c r="E5" s="3" t="inlineStr">
        <is>
          <t>[+ 점검표 생성] → 대상 없이 → 골라서 생성</t>
        </is>
      </c>
      <c r="F5" s="3" t="inlineStr">
        <is>
          <t>대상이 없으면 «대상을 선택하세요.» 만들면 «작성중»으로 추가된다</t>
        </is>
      </c>
      <c r="G5" s="29" t="n"/>
      <c r="H5" s="7" t="n"/>
      <c r="I5" s="7" t="n"/>
    </row>
    <row r="6" ht="51" customHeight="1">
      <c r="A6" s="28" t="n">
        <v>10</v>
      </c>
      <c r="B6" s="30" t="inlineStr">
        <is>
          <t>박안전</t>
        </is>
      </c>
      <c r="C6" s="30" t="inlineStr">
        <is>
          <t>인력·예산 &gt; 예산 총괄표</t>
        </is>
      </c>
      <c r="D6" s="17" t="inlineStr">
        <is>
          <t>상신 → 결재 결과 → 집행액</t>
        </is>
      </c>
      <c r="E6" s="3" t="inlineStr">
        <is>
          <t>작성중 점검표 → 상신 → 결재중에 고쳐 본다 → «결재 결과 회신 등록»으로 승인 → 집행액 입력</t>
        </is>
      </c>
      <c r="F6" s="3" t="inlineStr">
        <is>
          <t>결재중에는 잠긴다. 승인 완료 뒤에만 집행액·비고를 넣을 수 있다</t>
        </is>
      </c>
      <c r="G6" s="29" t="n"/>
      <c r="H6" s="7" t="n"/>
      <c r="I6" s="7" t="n"/>
    </row>
    <row r="7" ht="36" customHeight="1">
      <c r="A7" s="28" t="n">
        <v>11</v>
      </c>
      <c r="B7" s="30" t="inlineStr">
        <is>
          <t>박안전</t>
        </is>
      </c>
      <c r="C7" s="30" t="inlineStr">
        <is>
          <t>인력·예산 &gt; 예산 총괄표</t>
        </is>
      </c>
      <c r="D7" s="17" t="inlineStr">
        <is>
          <t>작성중 삭제</t>
        </is>
      </c>
      <c r="E7" s="3" t="inlineStr">
        <is>
          <t>[삭제] → 확인</t>
        </is>
      </c>
      <c r="F7" s="3" t="inlineStr">
        <is>
          <t>확인 뒤 사라진다. 결재중·승인완료 점검표에는 삭제 버튼이 없다</t>
        </is>
      </c>
      <c r="G7" s="29" t="n"/>
      <c r="H7" s="7" t="n"/>
      <c r="I7" s="7" t="n"/>
    </row>
    <row r="8" ht="36" customHeight="1">
      <c r="A8" s="28" t="n">
        <v>12</v>
      </c>
      <c r="B8" s="3" t="inlineStr">
        <is>
          <t>홍길동 → 김담양</t>
        </is>
      </c>
      <c r="C8" s="30" t="inlineStr">
        <is>
          <t>인력·예산 &gt; 예산 총괄표</t>
        </is>
      </c>
      <c r="D8" s="17" t="inlineStr">
        <is>
          <t>과장·군수는 보기만</t>
        </is>
      </c>
      <c r="E8" s="3" t="inlineStr">
        <is>
          <t>총괄표와 점검표를 본다</t>
        </is>
      </c>
      <c r="F8" s="3" t="inlineStr">
        <is>
          <t>만들기·삭제·상신·집행액 입력 버튼이 없거나 누르면 막힌다(저장되면 실패)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인력·예산 — 예산 기준 설정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13</v>
      </c>
      <c r="B4" s="3" t="inlineStr">
        <is>
          <t>박안전</t>
        </is>
      </c>
      <c r="C4" s="3" t="inlineStr">
        <is>
          <t>인력·예산 &gt; 예산 기준 설정</t>
        </is>
      </c>
      <c r="D4" s="17" t="inlineStr">
        <is>
          <t>원칙 등록</t>
        </is>
      </c>
      <c r="E4" s="3" t="inlineStr">
        <is>
          <t>[원칙 등록·개정] → 빈 채로 저장 → 채워서 저장</t>
        </is>
      </c>
      <c r="F4" s="3" t="inlineStr">
        <is>
          <t>빈 채로는 «제목을 입력하세요.» 저장하면 목록에 반영된다</t>
        </is>
      </c>
      <c r="G4" s="29" t="n"/>
      <c r="H4" s="7" t="n"/>
      <c r="I4" s="7" t="n"/>
    </row>
    <row r="5" ht="36" customHeight="1">
      <c r="A5" s="28" t="n">
        <v>14</v>
      </c>
      <c r="B5" s="30" t="inlineStr">
        <is>
          <t>박안전</t>
        </is>
      </c>
      <c r="C5" s="30" t="inlineStr">
        <is>
          <t>인력·예산 &gt; 예산 기준 설정</t>
        </is>
      </c>
      <c r="D5" s="17" t="inlineStr">
        <is>
          <t>예산 항목</t>
        </is>
      </c>
      <c r="E5" s="3" t="inlineStr">
        <is>
          <t>[+ 대분류 추가] → [+ 하위] → [수정] → 하위가 있는 항목 [삭제]</t>
        </is>
      </c>
      <c r="F5" s="3" t="inlineStr">
        <is>
          <t>추가·수정이 되고, 하위가 있으면 «하위 항목이 있어 삭제할 수 없습니다…»</t>
        </is>
      </c>
      <c r="G5" s="29" t="n"/>
      <c r="H5" s="7" t="n"/>
      <c r="I5" s="7" t="n"/>
    </row>
    <row r="6" ht="51" customHeight="1">
      <c r="A6" s="28" t="n">
        <v>15</v>
      </c>
      <c r="B6" s="30" t="inlineStr">
        <is>
          <t>박안전</t>
        </is>
      </c>
      <c r="C6" s="30" t="inlineStr">
        <is>
          <t>인력·예산 &gt; 예산 기준 설정</t>
        </is>
      </c>
      <c r="D6" s="17" t="inlineStr">
        <is>
          <t>점검 대상</t>
        </is>
      </c>
      <c r="E6" s="3" t="inlineStr">
        <is>
          <t>[+ 기관 추가] → 안 고르고 추가 → 골라 추가 → 쓰고 있는 대상 [삭제] → [+ 시설 추가]</t>
        </is>
      </c>
      <c r="F6" s="3" t="inlineStr">
        <is>
          <t>안 고르면 «추가할 대상을 선택하세요.», 쓰는 대상은 «…삭제할 수 없습니다.» 시설은 시설물 목록에서 고른다</t>
        </is>
      </c>
      <c r="G6" s="29" t="n"/>
      <c r="H6" s="7" t="n"/>
      <c r="I6" s="7" t="n"/>
    </row>
  </sheetData>
  <autoFilter ref="A3:I6"/>
  <mergeCells count="2">
    <mergeCell ref="A1:I1"/>
    <mergeCell ref="A2:I2"/>
  </mergeCells>
  <conditionalFormatting sqref="G4:G6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6">
    <cfRule type="expression" priority="7" dxfId="7">
      <formula>AND(OR($G4="실패",$G4="오류",$G4="문의"),$H4="")</formula>
    </cfRule>
  </conditionalFormatting>
  <dataValidations count="1">
    <dataValidation sqref="G4:G6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인력·예산</t>
        </is>
      </c>
    </row>
    <row r="3">
      <c r="A3" t="inlineStr">
        <is>
          <t>담당자</t>
        </is>
      </c>
      <c r="B3" t="inlineStr">
        <is>
          <t>이혜린</t>
        </is>
      </c>
    </row>
    <row r="4">
      <c r="A4" t="inlineStr">
        <is>
          <t>파일 코드</t>
        </is>
      </c>
      <c r="B4" t="inlineStr">
        <is>
          <t>EV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