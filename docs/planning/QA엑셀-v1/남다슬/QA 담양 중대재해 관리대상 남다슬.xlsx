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시설물 대장" sheetId="3" state="visible" r:id="rId3"/>
    <sheet xmlns:r="http://schemas.openxmlformats.org/officeDocument/2006/relationships" name="시설물 위험도" sheetId="4" state="visible" r:id="rId4"/>
    <sheet xmlns:r="http://schemas.openxmlformats.org/officeDocument/2006/relationships" name="_정보" sheetId="5" state="hidden" r:id="rId5"/>
  </sheets>
  <definedNames>
    <definedName name="_xlnm._FilterDatabase" localSheetId="2" hidden="1">'시설물 대장'!$A$3:$I$9</definedName>
    <definedName name="_xlnm.Print_Titles" localSheetId="2">'시설물 대장'!$3:$3</definedName>
    <definedName name="_xlnm._FilterDatabase" localSheetId="3" hidden="1">'시설물 위험도'!$A$3:$I$7</definedName>
    <definedName name="_xlnm.Print_Titles" localSheetId="3">'시설물 위험도'!$3:$3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관리대상 · 남다슬</t>
        </is>
      </c>
    </row>
    <row r="3" ht="22" customHeight="1">
      <c r="A3" s="2" t="inlineStr">
        <is>
          <t>메뉴</t>
        </is>
      </c>
      <c r="B3" s="3" t="inlineStr">
        <is>
          <t>관리대상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남다슬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QA박안전2 (재난안전과 담당자) · QA하정수2 (내 부서 건설과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관리대상의 시설물 대장과 시설물 위험도를 봅니다. 시설물은 모든 부서가 함께 보고, 보완입력은 아직 역할 구분이 없어 누구나 저장되는 것이 정상입니다.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10줄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시설물 대장 → 시설물 위험도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QA박안전2(재난안전과), 시크릿 창(Ctrl + Shift + N · 맥 Cmd + Shift + N)에는 QA하정수2(담당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QA박안전2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QA하정수2</t>
        </is>
      </c>
      <c r="B40" s="3" t="inlineStr">
        <is>
          <t>담당 공무원 (내 부서: 건설과)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«남다슬_집합교육».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QA박안전2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관리대상 · 남다슬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시설물 대장</t>
        </is>
      </c>
      <c r="B5" s="21">
        <f>COUNTA('시설물 대장'!$A$4:$A$9)</f>
        <v>6</v>
      </c>
      <c r="C5" s="21">
        <f>COUNTIF('시설물 대장'!$G$4:$G$9,"성공")</f>
        <v>0</v>
      </c>
      <c r="D5" s="21">
        <f>COUNTIF('시설물 대장'!$G$4:$G$9,"실패")</f>
        <v>0</v>
      </c>
      <c r="E5" s="21">
        <f>COUNTIF('시설물 대장'!$G$4:$G$9,"오류")</f>
        <v>0</v>
      </c>
      <c r="F5" s="21">
        <f>COUNTIF('시설물 대장'!$G$4:$G$9,"보류")</f>
        <v>0</v>
      </c>
      <c r="G5" s="21">
        <f>COUNTIF('시설물 대장'!$G$4:$G$9,"확인 불가")</f>
        <v>0</v>
      </c>
      <c r="H5" s="21">
        <f>COUNTIF('시설물 대장'!$G$4:$G$9,"문의")</f>
        <v>0</v>
      </c>
      <c r="I5" s="21">
        <f>COUNTBLANK('시설물 대장'!$G$4:$G$9)</f>
        <v>6</v>
      </c>
      <c r="J5" s="22">
        <f>IF(B5=0,0,(B5-I5)/B5)</f>
        <v>0</v>
      </c>
    </row>
    <row r="6" ht="22" customHeight="1">
      <c r="A6" s="20" t="inlineStr">
        <is>
          <t>시설물 위험도</t>
        </is>
      </c>
      <c r="B6" s="21">
        <f>COUNTA('시설물 위험도'!$A$4:$A$7)</f>
        <v>4</v>
      </c>
      <c r="C6" s="21">
        <f>COUNTIF('시설물 위험도'!$G$4:$G$7,"성공")</f>
        <v>0</v>
      </c>
      <c r="D6" s="21">
        <f>COUNTIF('시설물 위험도'!$G$4:$G$7,"실패")</f>
        <v>0</v>
      </c>
      <c r="E6" s="21">
        <f>COUNTIF('시설물 위험도'!$G$4:$G$7,"오류")</f>
        <v>0</v>
      </c>
      <c r="F6" s="21">
        <f>COUNTIF('시설물 위험도'!$G$4:$G$7,"보류")</f>
        <v>0</v>
      </c>
      <c r="G6" s="21">
        <f>COUNTIF('시설물 위험도'!$G$4:$G$7,"확인 불가")</f>
        <v>0</v>
      </c>
      <c r="H6" s="21">
        <f>COUNTIF('시설물 위험도'!$G$4:$G$7,"문의")</f>
        <v>0</v>
      </c>
      <c r="I6" s="21">
        <f>COUNTBLANK('시설물 위험도'!$G$4:$G$7)</f>
        <v>4</v>
      </c>
      <c r="J6" s="22">
        <f>IF(B6=0,0,(B6-I6)/B6)</f>
        <v>0</v>
      </c>
    </row>
    <row r="7" ht="24" customHeight="1">
      <c r="A7" s="23" t="inlineStr">
        <is>
          <t>합계</t>
        </is>
      </c>
      <c r="B7" s="24">
        <f>SUM(B5:B6)</f>
        <v>10</v>
      </c>
      <c r="C7" s="24">
        <f>SUM(C5:C6)</f>
        <v>0</v>
      </c>
      <c r="D7" s="24">
        <f>SUM(D5:D6)</f>
        <v>0</v>
      </c>
      <c r="E7" s="24">
        <f>SUM(E5:E6)</f>
        <v>0</v>
      </c>
      <c r="F7" s="24">
        <f>SUM(F5:F6)</f>
        <v>0</v>
      </c>
      <c r="G7" s="24">
        <f>SUM(G5:G6)</f>
        <v>0</v>
      </c>
      <c r="H7" s="24">
        <f>SUM(H5:H6)</f>
        <v>0</v>
      </c>
      <c r="I7" s="24">
        <f>SUM(I5:I6)</f>
        <v>10</v>
      </c>
      <c r="J7" s="25">
        <f>IF(B7=0,0,(B7-I7)/B7)</f>
        <v>0</v>
      </c>
    </row>
  </sheetData>
  <mergeCells count="2">
    <mergeCell ref="A1:J1"/>
    <mergeCell ref="A2:J2"/>
  </mergeCells>
  <conditionalFormatting sqref="J5:J7">
    <cfRule type="dataBar" priority="1">
      <dataBar showValue="1">
        <cfvo type="num" val="0"/>
        <cfvo type="num" val="1"/>
        <color rgb="0063BE7B"/>
      </dataBar>
    </cfRule>
  </conditionalFormatting>
  <conditionalFormatting sqref="D5:D7">
    <cfRule type="cellIs" priority="2" operator="greaterThan" dxfId="0">
      <formula>0</formula>
    </cfRule>
  </conditionalFormatting>
  <conditionalFormatting sqref="E5:E7">
    <cfRule type="cellIs" priority="3" operator="greaterThan" dxfId="0">
      <formula>0</formula>
    </cfRule>
  </conditionalFormatting>
  <conditionalFormatting sqref="H5:H7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관리대상 — 시설물 대장</t>
        </is>
      </c>
    </row>
    <row r="2" ht="24" customHeight="1">
      <c r="A2" s="26" t="inlineStr">
        <is>
          <t>🗂 QA박안전2 창에서 합니다. 시설물은 새로 만들 수 없어 이미 있는 시설물을 고쳐 봅니다. 다른 사람과 겹치지 않게 계정 이름 끝 숫자로 시설물을 고르고, 번호·이름·원래 값은 메모에 적고, 4번 끝에서 원래대로 되돌립니다.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</v>
      </c>
      <c r="B4" s="3" t="inlineStr">
        <is>
          <t>QA박안전2(재난안전과)</t>
        </is>
      </c>
      <c r="C4" s="3" t="inlineStr">
        <is>
          <t>관리대상 &gt; 시설물 대장</t>
        </is>
      </c>
      <c r="D4" s="17" t="inlineStr">
        <is>
          <t>화면 열기</t>
        </is>
      </c>
      <c r="E4" s="3" t="inlineStr">
        <is>
          <t>메뉴로 들어간다</t>
        </is>
      </c>
      <c r="F4" s="3" t="inlineStr">
        <is>
          <t>요약 카드 4개(총 시설물 · 종별 · 30년 초과 노후 · 안전등급 확보)와 목록이 뜬다. 목록 아래 «표시 N / 전체 M건»의 M이 «총 시설물» 숫자와 같다</t>
        </is>
      </c>
      <c r="G4" s="29" t="n"/>
      <c r="H4" s="7" t="n"/>
      <c r="I4" s="7" t="n"/>
    </row>
    <row r="5" ht="66" customHeight="1">
      <c r="A5" s="28" t="n">
        <v>2</v>
      </c>
      <c r="B5" s="30" t="inlineStr">
        <is>
          <t>QA박안전2(재난안전과)</t>
        </is>
      </c>
      <c r="C5" s="30" t="inlineStr">
        <is>
          <t>관리대상 &gt; 시설물 대장</t>
        </is>
      </c>
      <c r="D5" s="17" t="inlineStr">
        <is>
          <t>조건 걸기</t>
        </is>
      </c>
      <c r="E5" s="3" t="inlineStr">
        <is>
          <t>① 구분 · 종별 · 소관 · 평가 조건과 «노후만»을 하나씩 걸어 본다
② 검색칸에 없는 이름(zzz)을 친다
③ 조건과 검색어를 모두 푼다</t>
        </is>
      </c>
      <c r="F5" s="3" t="inlineStr">
        <is>
          <t>조건대로 줄이 걸러지고 «표시 N»도 따라 바뀐다. 없는 이름이면 «조건에 맞는 시설물이 없습니다.», 모두 풀면 다시 전체가 보인다</t>
        </is>
      </c>
      <c r="G5" s="29" t="n"/>
      <c r="H5" s="7" t="n"/>
      <c r="I5" s="7" t="n"/>
    </row>
    <row r="6" ht="51" customHeight="1">
      <c r="A6" s="28" t="n">
        <v>3</v>
      </c>
      <c r="B6" s="30" t="inlineStr">
        <is>
          <t>QA박안전2(재난안전과)</t>
        </is>
      </c>
      <c r="C6" s="30" t="inlineStr">
        <is>
          <t>관리대상 &gt; 시설물 대장</t>
        </is>
      </c>
      <c r="D6" s="17" t="inlineStr">
        <is>
          <t>시설물 상세</t>
        </is>
      </c>
      <c r="E6" s="3" t="inlineStr">
        <is>
          <t>아무 줄이나 눌러 상세를 연다 → [닫기]</t>
        </is>
      </c>
      <c r="F6" s="3" t="inlineStr">
        <is>
          <t>«시설물 상세 — (시설물 이름)» 창에 FMS 기본현황 · 보완입력 · 시설물 위험도 · 개선조치 내역이 보인다</t>
        </is>
      </c>
      <c r="G6" s="29" t="n"/>
      <c r="H6" s="7" t="n"/>
      <c r="I6" s="7" t="n"/>
    </row>
    <row r="7" ht="261" customHeight="1">
      <c r="A7" s="28" t="n">
        <v>4</v>
      </c>
      <c r="B7" s="30" t="inlineStr">
        <is>
          <t>QA박안전2(재난안전과)</t>
        </is>
      </c>
      <c r="C7" s="30" t="inlineStr">
        <is>
          <t>관리대상 &gt; 시설물 대장</t>
        </is>
      </c>
      <c r="D7" s="17" t="inlineStr">
        <is>
          <t>보완입력 저장과 되돌리기</t>
        </is>
      </c>
      <c r="E7" s="3" t="inlineStr">
        <is>
          <t>① 평가 조건을 «등급 없음»으로 두고, 목록 위에서부터 세어 계정 이름 끝 숫자번째 줄을 연다(끝 숫자가 3이면 3번째 줄). 시설물 번호 · 이름과 원래 최근 점검일 · 규모 · 단위, 목록의 위험도를 메모에 적는다
② 최근 점검일을 내일 날짜로 넣고 [보완입력 저장]
③ 점검일을 비우고 규모 -5, 단위 m로 [보완입력 저장]
④ 안전등급 D · 최근 점검일 어제 · 규모 120, 단위 m로 [보완입력 저장] → 메모한 시설물 번호를 검색칸에 붙여넣어 찾는다(검색칸은 한 글자씩 치면 끊길 수 있다 — 붙여넣는다)
⑤ 다시 상세를 열어 안전등급을 «미평가»로, 최근 점검일 · 규모 · 단위를 ①에서 메모한 원래 값(없었으면 빈칸)으로 돌려 [보완입력 저장]</t>
        </is>
      </c>
      <c r="F7" s="3" t="inlineStr">
        <is>
          <t>②는 «점검일은 미래일 수 없습니다.», ③은 «규모 값과 단위를 올바르게 입력하세요 — 0 이상 숫자입니다.»로 막힌다. ④는 «보완입력 저장됨» 뒤 그 줄이 «D등급»과 점수 있는 위험도로 바뀐다. ⑤ 뒤에는 ①에서 본 등급 · 위험도로 돌아간다</t>
        </is>
      </c>
      <c r="G7" s="29" t="n"/>
      <c r="H7" s="7" t="n"/>
      <c r="I7" s="7" t="n"/>
    </row>
    <row r="8" ht="111" customHeight="1">
      <c r="A8" s="28" t="n">
        <v>5</v>
      </c>
      <c r="B8" s="30" t="inlineStr">
        <is>
          <t>QA박안전2(재난안전과)</t>
        </is>
      </c>
      <c r="C8" s="30" t="inlineStr">
        <is>
          <t>관리대상 &gt; 시설물 대장</t>
        </is>
      </c>
      <c r="D8" s="17" t="inlineStr">
        <is>
          <t>연계 · 변경 이력</t>
        </is>
      </c>
      <c r="E8" s="3" t="inlineStr">
        <is>
          <t>① 4번을 끝내자마자 목록 위 [연계·변경 이력 (N)]을 누른다
② 4번에서 고친 시설물 번호로 줄을 찾는다</t>
        </is>
      </c>
      <c r="F8" s="3" t="inlineStr">
        <is>
          <t>목록 아래 «연계 · 변경 이력 (감사추적)» 표로 내려가고, 시설물 칸이 그 시설물 번호인 «보완입력» · «저장» 줄이 있다(4번에서 바꾼 것과 되돌린 것). 다른 사람 줄이 많아 20건 밖으로 밀렸으면(표 아래 «최근 20건 표시 / 전체 N건») «확인 불가». 목록 위에 [FMS 연계] 버튼은 없다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QA박안전2(재난안전과)</t>
        </is>
      </c>
      <c r="C9" s="30" t="inlineStr">
        <is>
          <t>관리대상 &gt; 시설물 대장</t>
        </is>
      </c>
      <c r="D9" s="17" t="inlineStr">
        <is>
          <t>FMS 전송은 한 번 더 묻는다</t>
        </is>
      </c>
      <c r="E9" s="3" t="inlineStr">
        <is>
          <t>① 4번에서 고친 시설물의 상세 → [FMS 전송(수정)]
② 확인 창 내용을 읽고 [취소]한다(FMS 실연계라 [전송]은 누르지 않는다)</t>
        </is>
      </c>
      <c r="F9" s="3" t="inlineStr">
        <is>
          <t>바로 보내지 않고 «FMS 전송 확인 — (시설물 이름)» 창이 뜬다. 창에 시설물번호(반영키)와 updateBastbMaster가 보이고, [취소]하면 상세로 돌아온다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관리대상 — 시설물 위험도</t>
        </is>
      </c>
    </row>
    <row r="2" ht="24" customHeight="1">
      <c r="A2" s="26" t="inlineStr">
        <is>
          <t>🗂 QA박안전2 창에서 하고, 마지막 줄만 QA하정수2 창에서 합니다. 8번에서 고친 시설물은 같은 줄에서 원래대로 되돌립니다. 위험성평가로 넘어가도 행은 추가하지 않습니다 — 정기평가는 6명이 함께 쓰는 1건입니다.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7</v>
      </c>
      <c r="B4" s="3" t="inlineStr">
        <is>
          <t>QA박안전2(재난안전과)</t>
        </is>
      </c>
      <c r="C4" s="3" t="inlineStr">
        <is>
          <t>관리대상 &gt; 시설물 위험도</t>
        </is>
      </c>
      <c r="D4" s="17" t="inlineStr">
        <is>
          <t>순서와 산정불가</t>
        </is>
      </c>
      <c r="E4" s="3" t="inlineStr">
        <is>
          <t>메뉴로 들어가 목록을 위에서 아래로 훑어본다</t>
        </is>
      </c>
      <c r="F4" s="3" t="inlineStr">
        <is>
          <t>위험도가 높음 → 보통 → 낮음 → 산정불가 순이다. 산정불가 줄은 점수가 없고 버튼이 [보완입력]이다</t>
        </is>
      </c>
      <c r="G4" s="29" t="n"/>
      <c r="H4" s="7" t="n"/>
      <c r="I4" s="7" t="n"/>
    </row>
    <row r="5" ht="111" customHeight="1">
      <c r="A5" s="28" t="n">
        <v>8</v>
      </c>
      <c r="B5" s="30" t="inlineStr">
        <is>
          <t>QA박안전2(재난안전과)</t>
        </is>
      </c>
      <c r="C5" s="30" t="inlineStr">
        <is>
          <t>관리대상 &gt; 시설물 위험도</t>
        </is>
      </c>
      <c r="D5" s="17" t="inlineStr">
        <is>
          <t>보완입력 뒤 다시 계산</t>
        </is>
      </c>
      <c r="E5" s="3" t="inlineStr">
        <is>
          <t>① 산정불가 줄 가운데 맨 아래에서부터 세어 계정 이름 끝 숫자번째 줄의 [보완입력]을 누른다(번호 · 이름은 메모에)
② 안전등급 C만 골라 [보완입력 저장]
③ 관리대상 &gt; 시설물 대장 메뉴에서 메모한 시설물 번호를 검색칸에 붙여넣어 상세를 열고, 안전등급을 «미평가»로 돌려 [보완입력 저장]</t>
        </is>
      </c>
      <c r="F5" s="3" t="inlineStr">
        <is>
          <t>② 뒤 새로고침 없이 그 시설물이 점수와 함께 순위 안으로 올라가고 위 «산정 불가» 카드 숫자가 줄어든다. ③ 뒤에는 다시 «산정불가»다</t>
        </is>
      </c>
      <c r="G5" s="29" t="n"/>
      <c r="H5" s="7" t="n"/>
      <c r="I5" s="7" t="n"/>
    </row>
    <row r="6" ht="66" customHeight="1">
      <c r="A6" s="28" t="n">
        <v>9</v>
      </c>
      <c r="B6" s="30" t="inlineStr">
        <is>
          <t>QA박안전2(재난안전과)</t>
        </is>
      </c>
      <c r="C6" s="30" t="inlineStr">
        <is>
          <t>관리대상 &gt; 시설물 위험도</t>
        </is>
      </c>
      <c r="D6" s="17" t="inlineStr">
        <is>
          <t>위험성평가로 넘어가기</t>
        </is>
      </c>
      <c r="E6" s="3" t="inlineStr">
        <is>
          <t>① 점수가 있는 줄의 [근로자 위험성평가 연계](개선조치가 있는 줄은 [연계 보기])를 누른다
② 넘어간 화면 위 안내를 읽는다 — 행은 추가하지 않는다</t>
        </is>
      </c>
      <c r="F6" s="3" t="inlineStr">
        <is>
          <t>정기 위험성평가 화면으로 가고 위에 «시설물 (그 이름) 에서 넘어왔습니다 — …» 안내가 있다(뒤 문장은 평가 진행 단계마다 다르다)</t>
        </is>
      </c>
      <c r="G6" s="29" t="n"/>
      <c r="H6" s="7" t="n"/>
      <c r="I6" s="7" t="n"/>
    </row>
    <row r="7" ht="81" customHeight="1">
      <c r="A7" s="28" t="n">
        <v>10</v>
      </c>
      <c r="B7" s="3" t="inlineStr">
        <is>
          <t>QA하정수2(담당 공무원)</t>
        </is>
      </c>
      <c r="C7" s="30" t="inlineStr">
        <is>
          <t>관리대상 &gt; 시설물 위험도</t>
        </is>
      </c>
      <c r="D7" s="17" t="inlineStr">
        <is>
          <t>담당 공무원도 시설물은 모두 본다</t>
        </is>
      </c>
      <c r="E7" s="3" t="inlineStr">
        <is>
          <t>① QA하정수2 창에서 시설물 위험도를 열어 필터 줄 오른쪽 «N / M건»을 본다
② 구분 · 종별 · 소관 조건을 바꿔 본다
③ 관리대상 &gt; 시설물 대장에서 목록 아래 «전체 M건»을 본다</t>
        </is>
      </c>
      <c r="F7" s="3" t="inlineStr">
        <is>
          <t>두 화면의 M이 QA박안전2 창의 같은 화면과 같다(시설물은 아직 부서 구분이 없다 — 정상). 조건대로 바뀌고 오류가 없다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관리대상</t>
        </is>
      </c>
    </row>
    <row r="3">
      <c r="A3" t="inlineStr">
        <is>
          <t>담당자</t>
        </is>
      </c>
      <c r="B3" t="inlineStr">
        <is>
          <t>남다슬</t>
        </is>
      </c>
    </row>
    <row r="4">
      <c r="A4" t="inlineStr">
        <is>
          <t>파일 코드</t>
        </is>
      </c>
      <c r="B4" t="inlineStr">
        <is>
          <t>BS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