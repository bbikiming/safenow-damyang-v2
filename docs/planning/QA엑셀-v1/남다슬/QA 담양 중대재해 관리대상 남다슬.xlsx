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시설물 대장" sheetId="3" state="visible" r:id="rId3"/>
    <sheet xmlns:r="http://schemas.openxmlformats.org/officeDocument/2006/relationships" name="시설물 위험도" sheetId="4" state="visible" r:id="rId4"/>
    <sheet xmlns:r="http://schemas.openxmlformats.org/officeDocument/2006/relationships" name="_정보" sheetId="5" state="hidden" r:id="rId5"/>
  </sheets>
  <definedNames>
    <definedName name="_xlnm._FilterDatabase" localSheetId="2" hidden="1">'시설물 대장'!$A$3:$I$9</definedName>
    <definedName name="_xlnm.Print_Titles" localSheetId="2">'시설물 대장'!$3:$3</definedName>
    <definedName name="_xlnm._FilterDatabase" localSheetId="3" hidden="1">'시설물 위험도'!$A$3:$I$7</definedName>
    <definedName name="_xlnm.Print_Titles" localSheetId="3">'시설물 위험도'!$3:$3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관리대상 · 남다슬</t>
        </is>
      </c>
    </row>
    <row r="3" ht="22" customHeight="1">
      <c r="A3" s="2" t="inlineStr">
        <is>
          <t>메뉴</t>
        </is>
      </c>
      <c r="B3" s="3" t="inlineStr">
        <is>
          <t>관리대상 (훑어보는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남다슬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관리대상의 시설물 대장과 시설물 위험도를 봅니다. 보완입력은 아직 역할 구분이 없어 누구나 저장되는 것이 정상입니다.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10줄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시설물 대장 → 시설물 위험도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관리대상 · 남다슬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시설물 대장</t>
        </is>
      </c>
      <c r="B5" s="21">
        <f>COUNTA('시설물 대장'!$A$4:$A$9)</f>
        <v>6</v>
      </c>
      <c r="C5" s="21">
        <f>COUNTIF('시설물 대장'!$G$4:$G$9,"성공")</f>
        <v>0</v>
      </c>
      <c r="D5" s="21">
        <f>COUNTIF('시설물 대장'!$G$4:$G$9,"실패")</f>
        <v>0</v>
      </c>
      <c r="E5" s="21">
        <f>COUNTIF('시설물 대장'!$G$4:$G$9,"오류")</f>
        <v>0</v>
      </c>
      <c r="F5" s="21">
        <f>COUNTIF('시설물 대장'!$G$4:$G$9,"보류")</f>
        <v>0</v>
      </c>
      <c r="G5" s="21">
        <f>COUNTIF('시설물 대장'!$G$4:$G$9,"확인 불가")</f>
        <v>0</v>
      </c>
      <c r="H5" s="21">
        <f>COUNTIF('시설물 대장'!$G$4:$G$9,"문의")</f>
        <v>0</v>
      </c>
      <c r="I5" s="21">
        <f>COUNTBLANK('시설물 대장'!$G$4:$G$9)</f>
        <v>6</v>
      </c>
      <c r="J5" s="22">
        <f>IF(B5=0,0,(B5-I5)/B5)</f>
        <v>0</v>
      </c>
    </row>
    <row r="6" ht="22" customHeight="1">
      <c r="A6" s="20" t="inlineStr">
        <is>
          <t>시설물 위험도</t>
        </is>
      </c>
      <c r="B6" s="21">
        <f>COUNTA('시설물 위험도'!$A$4:$A$7)</f>
        <v>4</v>
      </c>
      <c r="C6" s="21">
        <f>COUNTIF('시설물 위험도'!$G$4:$G$7,"성공")</f>
        <v>0</v>
      </c>
      <c r="D6" s="21">
        <f>COUNTIF('시설물 위험도'!$G$4:$G$7,"실패")</f>
        <v>0</v>
      </c>
      <c r="E6" s="21">
        <f>COUNTIF('시설물 위험도'!$G$4:$G$7,"오류")</f>
        <v>0</v>
      </c>
      <c r="F6" s="21">
        <f>COUNTIF('시설물 위험도'!$G$4:$G$7,"보류")</f>
        <v>0</v>
      </c>
      <c r="G6" s="21">
        <f>COUNTIF('시설물 위험도'!$G$4:$G$7,"확인 불가")</f>
        <v>0</v>
      </c>
      <c r="H6" s="21">
        <f>COUNTIF('시설물 위험도'!$G$4:$G$7,"문의")</f>
        <v>0</v>
      </c>
      <c r="I6" s="21">
        <f>COUNTBLANK('시설물 위험도'!$G$4:$G$7)</f>
        <v>4</v>
      </c>
      <c r="J6" s="22">
        <f>IF(B6=0,0,(B6-I6)/B6)</f>
        <v>0</v>
      </c>
    </row>
    <row r="7" ht="24" customHeight="1">
      <c r="A7" s="23" t="inlineStr">
        <is>
          <t>합계</t>
        </is>
      </c>
      <c r="B7" s="24">
        <f>SUM(B5:B6)</f>
        <v>10</v>
      </c>
      <c r="C7" s="24">
        <f>SUM(C5:C6)</f>
        <v>0</v>
      </c>
      <c r="D7" s="24">
        <f>SUM(D5:D6)</f>
        <v>0</v>
      </c>
      <c r="E7" s="24">
        <f>SUM(E5:E6)</f>
        <v>0</v>
      </c>
      <c r="F7" s="24">
        <f>SUM(F5:F6)</f>
        <v>0</v>
      </c>
      <c r="G7" s="24">
        <f>SUM(G5:G6)</f>
        <v>0</v>
      </c>
      <c r="H7" s="24">
        <f>SUM(H5:H6)</f>
        <v>0</v>
      </c>
      <c r="I7" s="24">
        <f>SUM(I5:I6)</f>
        <v>10</v>
      </c>
      <c r="J7" s="25">
        <f>IF(B7=0,0,(B7-I7)/B7)</f>
        <v>0</v>
      </c>
    </row>
  </sheetData>
  <mergeCells count="2">
    <mergeCell ref="A1:J1"/>
    <mergeCell ref="A2:J2"/>
  </mergeCells>
  <conditionalFormatting sqref="J5:J7">
    <cfRule type="dataBar" priority="1">
      <dataBar showValue="1">
        <cfvo type="num" val="0"/>
        <cfvo type="num" val="1"/>
        <color rgb="0063BE7B"/>
      </dataBar>
    </cfRule>
  </conditionalFormatting>
  <conditionalFormatting sqref="D5:D7">
    <cfRule type="cellIs" priority="2" operator="greaterThan" dxfId="0">
      <formula>0</formula>
    </cfRule>
  </conditionalFormatting>
  <conditionalFormatting sqref="E5:E7">
    <cfRule type="cellIs" priority="3" operator="greaterThan" dxfId="0">
      <formula>0</formula>
    </cfRule>
  </conditionalFormatting>
  <conditionalFormatting sqref="H5:H7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관리대상 — 시설물 대장</t>
        </is>
      </c>
    </row>
    <row r="2" ht="24" customHeight="1">
      <c r="A2" s="26" t="inlineStr">
        <is>
          <t>🗂 새 탭에서 시작하세요.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관리대상 &gt; 시설물 대장</t>
        </is>
      </c>
      <c r="D4" s="17" t="inlineStr">
        <is>
          <t>화면 열기</t>
        </is>
      </c>
      <c r="E4" s="3" t="inlineStr">
        <is>
          <t>메뉴로 들어간다</t>
        </is>
      </c>
      <c r="F4" s="3" t="inlineStr">
        <is>
          <t>요약 카드와 목록이 뜨고 «표시 N / 전체 M건»이 맞다</t>
        </is>
      </c>
      <c r="G4" s="29" t="n"/>
      <c r="H4" s="7" t="n"/>
      <c r="I4" s="7" t="n"/>
    </row>
    <row r="5" ht="36" customHeight="1">
      <c r="A5" s="28" t="n">
        <v>2</v>
      </c>
      <c r="B5" s="30" t="inlineStr">
        <is>
          <t>박안전</t>
        </is>
      </c>
      <c r="C5" s="30" t="inlineStr">
        <is>
          <t>관리대상 &gt; 시설물 대장</t>
        </is>
      </c>
      <c r="D5" s="17" t="inlineStr">
        <is>
          <t>조건 걸기</t>
        </is>
      </c>
      <c r="E5" s="3" t="inlineStr">
        <is>
          <t>검색 · 구분 · 종별 · 관할 조건 → 없는 이름(zzz) 검색 → 지운다</t>
        </is>
      </c>
      <c r="F5" s="3" t="inlineStr">
        <is>
          <t>조건대로 걸러지고, 없으면 «조건에 맞는 시설물이 없습니다», 지우면 전체로</t>
        </is>
      </c>
      <c r="G5" s="29" t="n"/>
      <c r="H5" s="7" t="n"/>
      <c r="I5" s="7" t="n"/>
    </row>
    <row r="6" ht="36" customHeight="1">
      <c r="A6" s="28" t="n">
        <v>3</v>
      </c>
      <c r="B6" s="30" t="inlineStr">
        <is>
          <t>박안전</t>
        </is>
      </c>
      <c r="C6" s="30" t="inlineStr">
        <is>
          <t>관리대상 &gt; 시설물 대장</t>
        </is>
      </c>
      <c r="D6" s="17" t="inlineStr">
        <is>
          <t>시설물 상세</t>
        </is>
      </c>
      <c r="E6" s="3" t="inlineStr">
        <is>
          <t>아무 줄이나 누른다</t>
        </is>
      </c>
      <c r="F6" s="3" t="inlineStr">
        <is>
          <t>«시설물 상세 — 이름» 창에 기본현황 · 보완입력 · 위험도 · 개선조치가 보인다</t>
        </is>
      </c>
      <c r="G6" s="29" t="n"/>
      <c r="H6" s="7" t="n"/>
      <c r="I6" s="7" t="n"/>
    </row>
    <row r="7" ht="51" customHeight="1">
      <c r="A7" s="28" t="n">
        <v>4</v>
      </c>
      <c r="B7" s="30" t="inlineStr">
        <is>
          <t>박안전</t>
        </is>
      </c>
      <c r="C7" s="30" t="inlineStr">
        <is>
          <t>관리대상 &gt; 시설물 대장</t>
        </is>
      </c>
      <c r="D7" s="17" t="inlineStr">
        <is>
          <t>보완입력 저장</t>
        </is>
      </c>
      <c r="E7" s="3" t="inlineStr">
        <is>
          <t>등급 없는 시설물 → 점검일 2027-01-01 저장 → 규모 -5 저장 → 등급 D · 점검일 2026-03-02 · 규모 120 m 저장</t>
        </is>
      </c>
      <c r="F7" s="3" t="inlineStr">
        <is>
          <t>미래 날짜·음수는 막히고, 바른 값은 «보완입력 저장됨» 후 목록의 등급·위험도가 바뀐다</t>
        </is>
      </c>
      <c r="G7" s="29" t="n"/>
      <c r="H7" s="7" t="n"/>
      <c r="I7" s="7" t="n"/>
    </row>
    <row r="8" ht="36" customHeight="1">
      <c r="A8" s="28" t="n">
        <v>5</v>
      </c>
      <c r="B8" s="30" t="inlineStr">
        <is>
          <t>박안전</t>
        </is>
      </c>
      <c r="C8" s="30" t="inlineStr">
        <is>
          <t>관리대상 &gt; 시설물 대장</t>
        </is>
      </c>
      <c r="D8" s="17" t="inlineStr">
        <is>
          <t>변경 이력</t>
        </is>
      </c>
      <c r="E8" s="3" t="inlineStr">
        <is>
          <t>[연계·변경 이력 (N)]을 누른다</t>
        </is>
      </c>
      <c r="F8" s="3" t="inlineStr">
        <is>
          <t>목록 아래 이력 표 맨 위에 방금 저장한 것이 있다. [FMS 연계] 버튼은 없다</t>
        </is>
      </c>
      <c r="G8" s="29" t="n"/>
      <c r="H8" s="7" t="n"/>
      <c r="I8" s="7" t="n"/>
    </row>
    <row r="9" ht="36" customHeight="1">
      <c r="A9" s="28" t="n">
        <v>6</v>
      </c>
      <c r="B9" s="30" t="inlineStr">
        <is>
          <t>박안전</t>
        </is>
      </c>
      <c r="C9" s="30" t="inlineStr">
        <is>
          <t>관리대상 &gt; 시설물 대장</t>
        </is>
      </c>
      <c r="D9" s="17" t="inlineStr">
        <is>
          <t>FMS 전송은 한 번 더 묻는다</t>
        </is>
      </c>
      <c r="E9" s="3" t="inlineStr">
        <is>
          <t>상세의 [FMS 전송(수정)] → [취소] → 다시 → [전송]</t>
        </is>
      </c>
      <c r="F9" s="3" t="inlineStr">
        <is>
          <t>바로 보내지 않고 확인 화면이 뜬다. 전송하면 이력에 남는다</t>
        </is>
      </c>
      <c r="G9" s="29" t="n"/>
      <c r="H9" s="7" t="n"/>
      <c r="I9" s="7" t="n"/>
    </row>
  </sheetData>
  <autoFilter ref="A3:I9"/>
  <mergeCells count="2">
    <mergeCell ref="A1:I1"/>
    <mergeCell ref="A2:I2"/>
  </mergeCells>
  <conditionalFormatting sqref="G4:G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9">
    <cfRule type="expression" priority="7" dxfId="7">
      <formula>AND(OR($G4="실패",$G4="오류",$G4="문의"),$H4="")</formula>
    </cfRule>
  </conditionalFormatting>
  <dataValidations count="1">
    <dataValidation sqref="G4:G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7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관리대상 — 시설물 위험도</t>
        </is>
      </c>
    </row>
    <row r="2" ht="24" customHeight="1">
      <c r="A2" s="26" t="inlineStr">
        <is>
          <t>🗂 어느 탭에서 해도 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7</v>
      </c>
      <c r="B4" s="3" t="inlineStr">
        <is>
          <t>박안전</t>
        </is>
      </c>
      <c r="C4" s="3" t="inlineStr">
        <is>
          <t>관리대상 &gt; 시설물 위험도</t>
        </is>
      </c>
      <c r="D4" s="17" t="inlineStr">
        <is>
          <t>순서와 산정 불가</t>
        </is>
      </c>
      <c r="E4" s="3" t="inlineStr">
        <is>
          <t>메뉴로 들어간다</t>
        </is>
      </c>
      <c r="F4" s="3" t="inlineStr">
        <is>
          <t>높음 → 보통 → 낮음 → 산정 불가 순이다. 산정 불가 줄은 점수 없이 [보완입력]만 있다</t>
        </is>
      </c>
      <c r="G4" s="29" t="n"/>
      <c r="H4" s="7" t="n"/>
      <c r="I4" s="7" t="n"/>
    </row>
    <row r="5" ht="36" customHeight="1">
      <c r="A5" s="28" t="n">
        <v>8</v>
      </c>
      <c r="B5" s="30" t="inlineStr">
        <is>
          <t>박안전</t>
        </is>
      </c>
      <c r="C5" s="30" t="inlineStr">
        <is>
          <t>관리대상 &gt; 시설물 위험도</t>
        </is>
      </c>
      <c r="D5" s="17" t="inlineStr">
        <is>
          <t>보완입력 뒤 다시 계산</t>
        </is>
      </c>
      <c r="E5" s="3" t="inlineStr">
        <is>
          <t>산정 불가 줄 [보완입력] → 등급 C 저장</t>
        </is>
      </c>
      <c r="F5" s="3" t="inlineStr">
        <is>
          <t>새로고침 없이 순위 안으로 올라가고 산정 불가가 1 준다</t>
        </is>
      </c>
      <c r="G5" s="29" t="n"/>
      <c r="H5" s="7" t="n"/>
      <c r="I5" s="7" t="n"/>
    </row>
    <row r="6" ht="36" customHeight="1">
      <c r="A6" s="28" t="n">
        <v>9</v>
      </c>
      <c r="B6" s="30" t="inlineStr">
        <is>
          <t>박안전</t>
        </is>
      </c>
      <c r="C6" s="30" t="inlineStr">
        <is>
          <t>관리대상 &gt; 시설물 위험도</t>
        </is>
      </c>
      <c r="D6" s="17" t="inlineStr">
        <is>
          <t>위험성평가로 넘어가기</t>
        </is>
      </c>
      <c r="E6" s="3" t="inlineStr">
        <is>
          <t>점수 있는 줄의 [근로자 위험성평가 연계]</t>
        </is>
      </c>
      <c r="F6" s="3" t="inlineStr">
        <is>
          <t>정기 위험성평가로 가고 «시설물 ○○ 에서 넘어왔습니다» 안내가 있다</t>
        </is>
      </c>
      <c r="G6" s="29" t="n"/>
      <c r="H6" s="7" t="n"/>
      <c r="I6" s="7" t="n"/>
    </row>
    <row r="7" ht="34" customHeight="1">
      <c r="A7" s="28" t="n">
        <v>10</v>
      </c>
      <c r="B7" s="3" t="inlineStr">
        <is>
          <t>김담양</t>
        </is>
      </c>
      <c r="C7" s="30" t="inlineStr">
        <is>
          <t>관리대상 &gt; 시설물 위험도</t>
        </is>
      </c>
      <c r="D7" s="17" t="inlineStr">
        <is>
          <t>군수 화면</t>
        </is>
      </c>
      <c r="E7" s="3" t="inlineStr">
        <is>
          <t>조건 드롭다운을 바꿔 본다</t>
        </is>
      </c>
      <c r="F7" s="3" t="inlineStr">
        <is>
          <t>조건대로 바뀌고 오류가 없다</t>
        </is>
      </c>
      <c r="G7" s="29" t="n"/>
      <c r="H7" s="7" t="n"/>
      <c r="I7" s="7" t="n"/>
    </row>
  </sheetData>
  <autoFilter ref="A3:I7"/>
  <mergeCells count="2">
    <mergeCell ref="A1:I1"/>
    <mergeCell ref="A2:I2"/>
  </mergeCells>
  <conditionalFormatting sqref="G4:G7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7">
    <cfRule type="expression" priority="7" dxfId="7">
      <formula>AND(OR($G4="실패",$G4="오류",$G4="문의"),$H4="")</formula>
    </cfRule>
  </conditionalFormatting>
  <dataValidations count="1">
    <dataValidation sqref="G4:G7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관리대상</t>
        </is>
      </c>
    </row>
    <row r="3">
      <c r="A3" t="inlineStr">
        <is>
          <t>담당자</t>
        </is>
      </c>
      <c r="B3" t="inlineStr">
        <is>
          <t>남다슬</t>
        </is>
      </c>
    </row>
    <row r="4">
      <c r="A4" t="inlineStr">
        <is>
          <t>파일 코드</t>
        </is>
      </c>
      <c r="B4" t="inlineStr">
        <is>
          <t>BS</t>
        </is>
      </c>
    </row>
    <row r="5">
      <c r="A5" t="inlineStr">
        <is>
          <t>종류</t>
        </is>
      </c>
      <c r="B5" t="inlineStr">
        <is>
          <t>스모크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2026-09-28T08:54:00Z</dcterms:created>
  <dcterms:modified xmlns:dcterms="http://purl.org/dc/terms/" xmlns:xsi="http://www.w3.org/2001/XMLSchema-instance" xsi:type="dcterms:W3CDTF">2026-09-28T08:54:00Z</dcterms:modified>
</cp:coreProperties>
</file>