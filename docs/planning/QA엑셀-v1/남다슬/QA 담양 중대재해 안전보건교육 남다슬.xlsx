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근로자 명단" sheetId="3" state="visible" r:id="rId3"/>
    <sheet xmlns:r="http://schemas.openxmlformats.org/officeDocument/2006/relationships" name="2 정기교육(집합)" sheetId="4" state="visible" r:id="rId4"/>
    <sheet xmlns:r="http://schemas.openxmlformats.org/officeDocument/2006/relationships" name="3 자체·채용시·기타" sheetId="5" state="visible" r:id="rId5"/>
    <sheet xmlns:r="http://schemas.openxmlformats.org/officeDocument/2006/relationships" name="4 이수현황" sheetId="6" state="visible" r:id="rId6"/>
    <sheet xmlns:r="http://schemas.openxmlformats.org/officeDocument/2006/relationships" name="5 공문·결재 이력" sheetId="7" state="visible" r:id="rId7"/>
    <sheet xmlns:r="http://schemas.openxmlformats.org/officeDocument/2006/relationships" name="6 부서 담당자·다시 로그인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근로자 명단'!$A$3:$I$13</definedName>
    <definedName name="_xlnm.Print_Titles" localSheetId="2">'1 근로자 명단'!$3:$3</definedName>
    <definedName name="_xlnm._FilterDatabase" localSheetId="3" hidden="1">'2 정기교육(집합)'!$A$3:$I$19</definedName>
    <definedName name="_xlnm.Print_Titles" localSheetId="3">'2 정기교육(집합)'!$3:$3</definedName>
    <definedName name="_xlnm._FilterDatabase" localSheetId="4" hidden="1">'3 자체·채용시·기타'!$A$3:$I$17</definedName>
    <definedName name="_xlnm.Print_Titles" localSheetId="4">'3 자체·채용시·기타'!$3:$3</definedName>
    <definedName name="_xlnm._FilterDatabase" localSheetId="5" hidden="1">'4 이수현황'!$A$3:$I$10</definedName>
    <definedName name="_xlnm.Print_Titles" localSheetId="5">'4 이수현황'!$3:$3</definedName>
    <definedName name="_xlnm._FilterDatabase" localSheetId="6" hidden="1">'5 공문·결재 이력'!$A$3:$I$11</definedName>
    <definedName name="_xlnm.Print_Titles" localSheetId="6">'5 공문·결재 이력'!$3:$3</definedName>
    <definedName name="_xlnm._FilterDatabase" localSheetId="7" hidden="1">'6 부서 담당자·다시 로그인'!$A$3:$I$6</definedName>
    <definedName name="_xlnm.Print_Titles" localSheetId="7">'6 부서 담당자·다시 로그인'!$3:$3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안전보건교육 · 남다슬</t>
        </is>
      </c>
    </row>
    <row r="3" ht="22" customHeight="1">
      <c r="A3" s="2" t="inlineStr">
        <is>
          <t>메뉴</t>
        </is>
      </c>
      <c r="B3" s="3" t="inlineStr">
        <is>
          <t>안전보건교육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남다슬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QA박안전2 (재난안전과 담당자) · QA하정수2 (내 부서 건설과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근로자 명단 → 교육 등록 → 참석자 등록부 → 교육 종료 → 이수현황 → 공문까지 봅니다. 이수 기록은 참석자를 등록할 때가 아니라 [교육 종료 처리]를 눌러야 생깁니다. 내가 만든 «남다슬_…» 근로자·교육만 고치고 지웁니다.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58줄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1 근로자 명단 → 2 정기교육(집합) → 3 자체·채용시·기타 → 4 이수현황 → 5 공문·결재 이력 → 6 부서 담당자·다시 로그인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QA박안전2(재난안전과), 시크릿 창(Ctrl + Shift + N · 맥 Cmd + Shift + N)에는 QA하정수2(담당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QA박안전2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QA하정수2</t>
        </is>
      </c>
      <c r="B40" s="3" t="inlineStr">
        <is>
          <t>담당 공무원 (내 부서: 건설과)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«남다슬_집합교육».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QA박안전2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안전보건교육 · 남다슬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근로자 명단</t>
        </is>
      </c>
      <c r="B5" s="21">
        <f>COUNTA('1 근로자 명단'!$A$4:$A$13)</f>
        <v>10</v>
      </c>
      <c r="C5" s="21">
        <f>COUNTIF('1 근로자 명단'!$G$4:$G$13,"성공")</f>
        <v>0</v>
      </c>
      <c r="D5" s="21">
        <f>COUNTIF('1 근로자 명단'!$G$4:$G$13,"실패")</f>
        <v>0</v>
      </c>
      <c r="E5" s="21">
        <f>COUNTIF('1 근로자 명단'!$G$4:$G$13,"오류")</f>
        <v>0</v>
      </c>
      <c r="F5" s="21">
        <f>COUNTIF('1 근로자 명단'!$G$4:$G$13,"보류")</f>
        <v>0</v>
      </c>
      <c r="G5" s="21">
        <f>COUNTIF('1 근로자 명단'!$G$4:$G$13,"확인 불가")</f>
        <v>0</v>
      </c>
      <c r="H5" s="21">
        <f>COUNTIF('1 근로자 명단'!$G$4:$G$13,"문의")</f>
        <v>0</v>
      </c>
      <c r="I5" s="21">
        <f>COUNTBLANK('1 근로자 명단'!$G$4:$G$13)</f>
        <v>10</v>
      </c>
      <c r="J5" s="22">
        <f>IF(B5=0,0,(B5-I5)/B5)</f>
        <v>0</v>
      </c>
    </row>
    <row r="6" ht="22" customHeight="1">
      <c r="A6" s="20" t="inlineStr">
        <is>
          <t>2 정기교육(집합)</t>
        </is>
      </c>
      <c r="B6" s="21">
        <f>COUNTA('2 정기교육(집합)'!$A$4:$A$19)</f>
        <v>16</v>
      </c>
      <c r="C6" s="21">
        <f>COUNTIF('2 정기교육(집합)'!$G$4:$G$19,"성공")</f>
        <v>0</v>
      </c>
      <c r="D6" s="21">
        <f>COUNTIF('2 정기교육(집합)'!$G$4:$G$19,"실패")</f>
        <v>0</v>
      </c>
      <c r="E6" s="21">
        <f>COUNTIF('2 정기교육(집합)'!$G$4:$G$19,"오류")</f>
        <v>0</v>
      </c>
      <c r="F6" s="21">
        <f>COUNTIF('2 정기교육(집합)'!$G$4:$G$19,"보류")</f>
        <v>0</v>
      </c>
      <c r="G6" s="21">
        <f>COUNTIF('2 정기교육(집합)'!$G$4:$G$19,"확인 불가")</f>
        <v>0</v>
      </c>
      <c r="H6" s="21">
        <f>COUNTIF('2 정기교육(집합)'!$G$4:$G$19,"문의")</f>
        <v>0</v>
      </c>
      <c r="I6" s="21">
        <f>COUNTBLANK('2 정기교육(집합)'!$G$4:$G$19)</f>
        <v>16</v>
      </c>
      <c r="J6" s="22">
        <f>IF(B6=0,0,(B6-I6)/B6)</f>
        <v>0</v>
      </c>
    </row>
    <row r="7" ht="22" customHeight="1">
      <c r="A7" s="20" t="inlineStr">
        <is>
          <t>3 자체·채용시·기타</t>
        </is>
      </c>
      <c r="B7" s="21">
        <f>COUNTA('3 자체·채용시·기타'!$A$4:$A$17)</f>
        <v>14</v>
      </c>
      <c r="C7" s="21">
        <f>COUNTIF('3 자체·채용시·기타'!$G$4:$G$17,"성공")</f>
        <v>0</v>
      </c>
      <c r="D7" s="21">
        <f>COUNTIF('3 자체·채용시·기타'!$G$4:$G$17,"실패")</f>
        <v>0</v>
      </c>
      <c r="E7" s="21">
        <f>COUNTIF('3 자체·채용시·기타'!$G$4:$G$17,"오류")</f>
        <v>0</v>
      </c>
      <c r="F7" s="21">
        <f>COUNTIF('3 자체·채용시·기타'!$G$4:$G$17,"보류")</f>
        <v>0</v>
      </c>
      <c r="G7" s="21">
        <f>COUNTIF('3 자체·채용시·기타'!$G$4:$G$17,"확인 불가")</f>
        <v>0</v>
      </c>
      <c r="H7" s="21">
        <f>COUNTIF('3 자체·채용시·기타'!$G$4:$G$17,"문의")</f>
        <v>0</v>
      </c>
      <c r="I7" s="21">
        <f>COUNTBLANK('3 자체·채용시·기타'!$G$4:$G$17)</f>
        <v>14</v>
      </c>
      <c r="J7" s="22">
        <f>IF(B7=0,0,(B7-I7)/B7)</f>
        <v>0</v>
      </c>
    </row>
    <row r="8" ht="22" customHeight="1">
      <c r="A8" s="20" t="inlineStr">
        <is>
          <t>4 이수현황</t>
        </is>
      </c>
      <c r="B8" s="21">
        <f>COUNTA('4 이수현황'!$A$4:$A$10)</f>
        <v>7</v>
      </c>
      <c r="C8" s="21">
        <f>COUNTIF('4 이수현황'!$G$4:$G$10,"성공")</f>
        <v>0</v>
      </c>
      <c r="D8" s="21">
        <f>COUNTIF('4 이수현황'!$G$4:$G$10,"실패")</f>
        <v>0</v>
      </c>
      <c r="E8" s="21">
        <f>COUNTIF('4 이수현황'!$G$4:$G$10,"오류")</f>
        <v>0</v>
      </c>
      <c r="F8" s="21">
        <f>COUNTIF('4 이수현황'!$G$4:$G$10,"보류")</f>
        <v>0</v>
      </c>
      <c r="G8" s="21">
        <f>COUNTIF('4 이수현황'!$G$4:$G$10,"확인 불가")</f>
        <v>0</v>
      </c>
      <c r="H8" s="21">
        <f>COUNTIF('4 이수현황'!$G$4:$G$10,"문의")</f>
        <v>0</v>
      </c>
      <c r="I8" s="21">
        <f>COUNTBLANK('4 이수현황'!$G$4:$G$10)</f>
        <v>7</v>
      </c>
      <c r="J8" s="22">
        <f>IF(B8=0,0,(B8-I8)/B8)</f>
        <v>0</v>
      </c>
    </row>
    <row r="9" ht="22" customHeight="1">
      <c r="A9" s="20" t="inlineStr">
        <is>
          <t>5 공문·결재 이력</t>
        </is>
      </c>
      <c r="B9" s="21">
        <f>COUNTA('5 공문·결재 이력'!$A$4:$A$11)</f>
        <v>8</v>
      </c>
      <c r="C9" s="21">
        <f>COUNTIF('5 공문·결재 이력'!$G$4:$G$11,"성공")</f>
        <v>0</v>
      </c>
      <c r="D9" s="21">
        <f>COUNTIF('5 공문·결재 이력'!$G$4:$G$11,"실패")</f>
        <v>0</v>
      </c>
      <c r="E9" s="21">
        <f>COUNTIF('5 공문·결재 이력'!$G$4:$G$11,"오류")</f>
        <v>0</v>
      </c>
      <c r="F9" s="21">
        <f>COUNTIF('5 공문·결재 이력'!$G$4:$G$11,"보류")</f>
        <v>0</v>
      </c>
      <c r="G9" s="21">
        <f>COUNTIF('5 공문·결재 이력'!$G$4:$G$11,"확인 불가")</f>
        <v>0</v>
      </c>
      <c r="H9" s="21">
        <f>COUNTIF('5 공문·결재 이력'!$G$4:$G$11,"문의")</f>
        <v>0</v>
      </c>
      <c r="I9" s="21">
        <f>COUNTBLANK('5 공문·결재 이력'!$G$4:$G$11)</f>
        <v>8</v>
      </c>
      <c r="J9" s="22">
        <f>IF(B9=0,0,(B9-I9)/B9)</f>
        <v>0</v>
      </c>
    </row>
    <row r="10" ht="22" customHeight="1">
      <c r="A10" s="20" t="inlineStr">
        <is>
          <t>6 부서 담당자·다시 로그인</t>
        </is>
      </c>
      <c r="B10" s="21">
        <f>COUNTA('6 부서 담당자·다시 로그인'!$A$4:$A$6)</f>
        <v>3</v>
      </c>
      <c r="C10" s="21">
        <f>COUNTIF('6 부서 담당자·다시 로그인'!$G$4:$G$6,"성공")</f>
        <v>0</v>
      </c>
      <c r="D10" s="21">
        <f>COUNTIF('6 부서 담당자·다시 로그인'!$G$4:$G$6,"실패")</f>
        <v>0</v>
      </c>
      <c r="E10" s="21">
        <f>COUNTIF('6 부서 담당자·다시 로그인'!$G$4:$G$6,"오류")</f>
        <v>0</v>
      </c>
      <c r="F10" s="21">
        <f>COUNTIF('6 부서 담당자·다시 로그인'!$G$4:$G$6,"보류")</f>
        <v>0</v>
      </c>
      <c r="G10" s="21">
        <f>COUNTIF('6 부서 담당자·다시 로그인'!$G$4:$G$6,"확인 불가")</f>
        <v>0</v>
      </c>
      <c r="H10" s="21">
        <f>COUNTIF('6 부서 담당자·다시 로그인'!$G$4:$G$6,"문의")</f>
        <v>0</v>
      </c>
      <c r="I10" s="21">
        <f>COUNTBLANK('6 부서 담당자·다시 로그인'!$G$4:$G$6)</f>
        <v>3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58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58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1 근로자 명단</t>
        </is>
      </c>
    </row>
    <row r="2" ht="36" customHeight="1">
      <c r="A2" s="26" t="inlineStr">
        <is>
          <t>🗂 QA박안전2 창(재난안전과)과 QA하정수2 창(내 부서)을 씁니다. 여기서 만드는 «남다슬_근로자01»·«남다슬_관리감독자»와 10번에서 올리는 4명을 뒤 시트에서 계속 씁니다. 10번에서 올라가는 4명은 이름이 정해져 있어 다른 부서에도 같은 이름이 있습니다 — 고를 때는 부서 조건을 내 부서에 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QA박안전2(재난안전과)</t>
        </is>
      </c>
      <c r="C4" s="3" t="inlineStr">
        <is>
          <t>안전보건교육 &gt; 근로자 명단 관리</t>
        </is>
      </c>
      <c r="D4" s="17" t="inlineStr">
        <is>
          <t>목록 조건 걸기</t>
        </is>
      </c>
      <c r="E4" s="3" t="inlineStr">
        <is>
          <t>① 검색·부서·구분·고용형태 조건을 하나씩 건다
② [필터 초기화]</t>
        </is>
      </c>
      <c r="F4" s="3" t="inlineStr">
        <is>
          <t>조건마다 건수가 바뀌고, 초기화하면 전체 건수로 돌아온다</t>
        </is>
      </c>
      <c r="G4" s="29" t="n"/>
      <c r="H4" s="7" t="n"/>
      <c r="I4" s="7" t="n"/>
    </row>
    <row r="5" ht="81" customHeight="1">
      <c r="A5" s="28" t="n">
        <v>2</v>
      </c>
      <c r="B5" s="30" t="inlineStr">
        <is>
          <t>QA박안전2(재난안전과)</t>
        </is>
      </c>
      <c r="C5" s="30" t="inlineStr">
        <is>
          <t>안전보건교육 &gt; 근로자 명단 관리</t>
        </is>
      </c>
      <c r="D5" s="17" t="inlineStr">
        <is>
          <t>근로자 등록</t>
        </is>
      </c>
      <c r="E5" s="3" t="inlineStr">
        <is>
          <t>① [＋ 직접 등록]
② 이름 «남다슬_근로자01» · 부서는 [조직도]에서 내 부서(건설과) · 구분 비사무직(현업) · 고용형태 기간제 · 채용일 오늘 · 계약기간 6
③ [등록]</t>
        </is>
      </c>
      <c r="F5" s="3" t="inlineStr">
        <is>
          <t>«남다슬_근로자01 근로자 등록 완료»가 뜨고 목록에 부서 건설과 줄로 보인다</t>
        </is>
      </c>
      <c r="G5" s="29" t="n"/>
      <c r="H5" s="7" t="n"/>
      <c r="I5" s="7" t="n"/>
    </row>
    <row r="6" ht="96" customHeight="1">
      <c r="A6" s="28" t="n">
        <v>3</v>
      </c>
      <c r="B6" s="30" t="inlineStr">
        <is>
          <t>QA박안전2(재난안전과)</t>
        </is>
      </c>
      <c r="C6" s="30" t="inlineStr">
        <is>
          <t>안전보건교육 &gt; 근로자 명단 관리</t>
        </is>
      </c>
      <c r="D6" s="17" t="inlineStr">
        <is>
          <t>빈 칸이면 등록되지 않는다</t>
        </is>
      </c>
      <c r="E6" s="3" t="inlineStr">
        <is>
          <t>[＋ 직접 등록]에서 ① 이름을 비우고 [등록]
② 이름 «남다슬_근로자03»을 넣고 채용일을 비운 뒤 [등록]
③ 채용일을 오늘로 되돌리고 고용형태 기간제·계약기간을 비운 뒤 [등록]
④ [취소]</t>
        </is>
      </c>
      <c r="F6" s="3" t="inlineStr">
        <is>
          <t>차례로 «이름을 입력하세요.» «채용일을 입력하세요.» «계약기간을 0보다 크게 입력하세요 — …»가 뜨고 등록되지 않는다(«등록 완료»가 뜨면 실패)</t>
        </is>
      </c>
      <c r="G6" s="29" t="n"/>
      <c r="H6" s="7" t="n"/>
      <c r="I6" s="7" t="n"/>
    </row>
    <row r="7" ht="51" customHeight="1">
      <c r="A7" s="28" t="n">
        <v>4</v>
      </c>
      <c r="B7" s="30" t="inlineStr">
        <is>
          <t>QA박안전2(재난안전과)</t>
        </is>
      </c>
      <c r="C7" s="30" t="inlineStr">
        <is>
          <t>안전보건교육 &gt; 근로자 명단 관리</t>
        </is>
      </c>
      <c r="D7" s="17" t="inlineStr">
        <is>
          <t>관리감독자 등록</t>
        </is>
      </c>
      <c r="E7" s="3" t="inlineStr">
        <is>
          <t>[＋ 직접 등록] → 이름 «남다슬_관리감독자» · 부서는 [조직도]에서 내 부서(건설과) · 구분 관리감독자 · 고용형태 공무원 → [등록]</t>
        </is>
      </c>
      <c r="F7" s="3" t="inlineStr">
        <is>
          <t>목록에 생기고 지정일은 비어 있다(지정일은 다음 줄에서 따로 넣는다)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QA박안전2(재난안전과)</t>
        </is>
      </c>
      <c r="C8" s="30" t="inlineStr">
        <is>
          <t>안전보건교육 &gt; 근로자 명단 관리</t>
        </is>
      </c>
      <c r="D8" s="17" t="inlineStr">
        <is>
          <t>지정일 넣기 — 빈 칸·미래 날짜</t>
        </is>
      </c>
      <c r="E8" s="3" t="inlineStr">
        <is>
          <t>4번 줄의 [지정일 등록] ① 비운 채 [저장]
② 내일 날짜로 [저장]
③ 오늘로 [저장]</t>
        </is>
      </c>
      <c r="F8" s="3" t="inlineStr">
        <is>
          <t>① 지정일을 넣으라는 안내가 뜨고 저장되지 않는다 ② 미래 날짜는 막힌다 — 저장되면 «실패»(미래 지정일은 이수 판정을 틀리게 한다) ③ 저장되고 지정일에 오늘이 보인다</t>
        </is>
      </c>
      <c r="G8" s="29" t="n"/>
      <c r="H8" s="7" t="n"/>
      <c r="I8" s="7" t="n"/>
    </row>
    <row r="9" ht="81" customHeight="1">
      <c r="A9" s="28" t="n">
        <v>6</v>
      </c>
      <c r="B9" s="3" t="inlineStr">
        <is>
          <t>QA하정수2(담당 공무원)</t>
        </is>
      </c>
      <c r="C9" s="30" t="inlineStr">
        <is>
          <t>안전보건교육 &gt; 근로자 명단 관리</t>
        </is>
      </c>
      <c r="D9" s="17" t="inlineStr">
        <is>
          <t>지정일은 재난안전과만 넣는다</t>
        </is>
      </c>
      <c r="E9" s="3" t="inlineStr">
        <is>
          <t>① 4번의 «남다슬_관리감독자» 줄과 다른 관리감독자 줄을 본다
② [＋ 직접 등록]에서 이름·채용일을 넣고 구분을 관리감독자로 골라 [등록]
③ [취소]</t>
        </is>
      </c>
      <c r="F9" s="3" t="inlineStr">
        <is>
          <t>어느 줄에도 [지정일 등록]이 없다(지정일이 빈 줄은 «지정일은 재난안전과가 등록»). 등록 창의 지정일 칸은 입력할 수 없고 [등록]은 «…관리감독자 등록은 재난안전과 담당자에게 요청하세요.»로 막힌다</t>
        </is>
      </c>
      <c r="G9" s="29" t="n"/>
      <c r="H9" s="7" t="n"/>
      <c r="I9" s="7" t="n"/>
    </row>
    <row r="10" ht="51" customHeight="1">
      <c r="A10" s="28" t="n">
        <v>7</v>
      </c>
      <c r="B10" s="30" t="inlineStr">
        <is>
          <t>QA하정수2(담당 공무원)</t>
        </is>
      </c>
      <c r="C10" s="30" t="inlineStr">
        <is>
          <t>안전보건교육 &gt; 근로자 명단 관리</t>
        </is>
      </c>
      <c r="D10" s="17" t="inlineStr">
        <is>
          <t>부서 담당자의 등록 창</t>
        </is>
      </c>
      <c r="E10" s="3" t="inlineStr">
        <is>
          <t>[＋ 직접 등록]을 열어 부서 칸을 보고 [취소]</t>
        </is>
      </c>
      <c r="F10" s="3" t="inlineStr">
        <is>
          <t>부서 칸이 내 부서(건설과)로 고정돼 있고 [조직도] 버튼 없이 «소속 부서 명단에 등록합니다.»가 보인다</t>
        </is>
      </c>
      <c r="G10" s="29" t="n"/>
      <c r="H10" s="7" t="n"/>
      <c r="I10" s="7" t="n"/>
    </row>
    <row r="11" ht="51" customHeight="1">
      <c r="A11" s="28" t="n">
        <v>8</v>
      </c>
      <c r="B11" s="3" t="inlineStr">
        <is>
          <t>QA박안전2(재난안전과)</t>
        </is>
      </c>
      <c r="C11" s="30" t="inlineStr">
        <is>
          <t>안전보건교육 &gt; 근로자 명단 관리</t>
        </is>
      </c>
      <c r="D11" s="17" t="inlineStr">
        <is>
          <t>이름만 고치기</t>
        </is>
      </c>
      <c r="E11" s="3" t="inlineStr">
        <is>
          <t>① «남다슬_근로자01» [수정] → 이름 끝에 «_수정»을 붙여 [저장]
② 다시 [수정] → 원래 이름으로 [저장]</t>
        </is>
      </c>
      <c r="F11" s="3" t="inlineStr">
        <is>
          <t>두 번 모두 «근로자 정보 저장» — 손대지 않은 계약기간 때문에 막히지 않는다</t>
        </is>
      </c>
      <c r="G11" s="29" t="n"/>
      <c r="H11" s="7" t="n"/>
      <c r="I11" s="7" t="n"/>
    </row>
    <row r="12" ht="51" customHeight="1">
      <c r="A12" s="28" t="n">
        <v>9</v>
      </c>
      <c r="B12" s="30" t="inlineStr">
        <is>
          <t>QA박안전2(재난안전과)</t>
        </is>
      </c>
      <c r="C12" s="30" t="inlineStr">
        <is>
          <t>안전보건교육 &gt; 근로자 명단 관리</t>
        </is>
      </c>
      <c r="D12" s="17" t="inlineStr">
        <is>
          <t>삭제는 한 번 더 묻는다</t>
        </is>
      </c>
      <c r="E12" s="3" t="inlineStr">
        <is>
          <t>① «남다슬_근로자02»를 등록한다(나머지는 기본값)
② 그 줄 [삭제] → 확인 창 → [삭제]</t>
        </is>
      </c>
      <c r="F12" s="3" t="inlineStr">
        <is>
          <t>확인 창(«…명단에서 제외합니다. 이력은 보존됩니다.»)을 거친 뒤 «근로자를 명단에서 제외했습니다.», 목록에서 사라진다</t>
        </is>
      </c>
      <c r="G12" s="29" t="n"/>
      <c r="H12" s="7" t="n"/>
      <c r="I12" s="7" t="n"/>
    </row>
    <row r="13" ht="81" customHeight="1">
      <c r="A13" s="28" t="n">
        <v>10</v>
      </c>
      <c r="B13" s="3" t="inlineStr">
        <is>
          <t>QA하정수2(담당 공무원)</t>
        </is>
      </c>
      <c r="C13" s="30" t="inlineStr">
        <is>
          <t>안전보건교육 &gt; 근로자 명단 관리</t>
        </is>
      </c>
      <c r="D13" s="17" t="inlineStr">
        <is>
          <t>엑셀 업로드</t>
        </is>
      </c>
      <c r="E13" s="3" t="inlineStr">
        <is>
          <t>① [📥 엑셀 업로드] → 서식을 내려받아 칸 순서를 본다
② 배포받은 «근로자 업로드 예시 남다슬.xlsx»를 골라 [업로드] (한 번만 — 다시 올리면 4명이 또 생긴다)</t>
        </is>
      </c>
      <c r="F13" s="3" t="inlineStr">
        <is>
          <t>서식 칸이 부서명·이름·구분·고용형태·채용일·계약기간개월이다. 올리면 «남다슬_근로자A~D» 4명이 내 부서(건설과)로 목록에 생긴다. 예시 파일 칸이 서식과 달라 막히면 «문의»</t>
        </is>
      </c>
      <c r="G13" s="29" t="n"/>
      <c r="H13" s="7" t="n"/>
      <c r="I13" s="7" t="n"/>
    </row>
  </sheetData>
  <autoFilter ref="A3:I13"/>
  <mergeCells count="2">
    <mergeCell ref="A1:I1"/>
    <mergeCell ref="A2:I2"/>
  </mergeCells>
  <conditionalFormatting sqref="G4:G13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3">
    <cfRule type="expression" priority="7" dxfId="7">
      <formula>AND(OR($G4="실패",$G4="오류",$G4="문의"),$H4="")</formula>
    </cfRule>
  </conditionalFormatting>
  <dataValidations count="1">
    <dataValidation sqref="G4:G13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2 정기교육(집합)</t>
        </is>
      </c>
    </row>
    <row r="2" ht="24" customHeight="1">
      <c r="A2" s="26" t="inlineStr">
        <is>
          <t>🗂 QA박안전2 창이 집합교육을 만들고(13·14번) → QA하정수2 창이 내 부서 참석자를 내고 → QA박안전2 창이 종료합니다. 14번 교육은 끝까지 진행 중으로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11</v>
      </c>
      <c r="B4" s="3" t="inlineStr">
        <is>
          <t>QA박안전2(재난안전과)</t>
        </is>
      </c>
      <c r="C4" s="3" t="inlineStr">
        <is>
          <t>안전보건교육 &gt; 현업근로자 &gt; 정기교육</t>
        </is>
      </c>
      <c r="D4" s="17" t="inlineStr">
        <is>
          <t>탭 바꾸기</t>
        </is>
      </c>
      <c r="E4" s="3" t="inlineStr">
        <is>
          <t>[집합교육] ↔ [자체교육 (부서)]를 바꾸고 조건을 몇 개 건다 → [필터 초기화]</t>
        </is>
      </c>
      <c r="F4" s="3" t="inlineStr">
        <is>
          <t>오류 없이 바뀌고 조건대로 걸러진다</t>
        </is>
      </c>
      <c r="G4" s="29" t="n"/>
      <c r="H4" s="7" t="n"/>
      <c r="I4" s="7" t="n"/>
    </row>
    <row r="5" ht="36" customHeight="1">
      <c r="A5" s="28" t="n">
        <v>12</v>
      </c>
      <c r="B5" s="3" t="inlineStr">
        <is>
          <t>QA하정수2(담당 공무원)</t>
        </is>
      </c>
      <c r="C5" s="30" t="inlineStr">
        <is>
          <t>안전보건교육 &gt; 현업근로자 &gt; 정기교육</t>
        </is>
      </c>
      <c r="D5" s="17" t="inlineStr">
        <is>
          <t>집합교육은 재난안전과만 만든다</t>
        </is>
      </c>
      <c r="E5" s="3" t="inlineStr">
        <is>
          <t>[집합교육] 탭을 본다</t>
        </is>
      </c>
      <c r="F5" s="3" t="inlineStr">
        <is>
          <t>[＋ 집합교육 등록]이 없고 «집합교육은 재난안전과 담당자가 등록합니다»가 보인다</t>
        </is>
      </c>
      <c r="G5" s="29" t="n"/>
      <c r="H5" s="7" t="n"/>
      <c r="I5" s="7" t="n"/>
    </row>
    <row r="6" ht="51" customHeight="1">
      <c r="A6" s="28" t="n">
        <v>13</v>
      </c>
      <c r="B6" s="3" t="inlineStr">
        <is>
          <t>QA박안전2(재난안전과)</t>
        </is>
      </c>
      <c r="C6" s="30" t="inlineStr">
        <is>
          <t>안전보건교육 &gt; 현업근로자 &gt; 정기교육</t>
        </is>
      </c>
      <c r="D6" s="17" t="inlineStr">
        <is>
          <t>집합교육 등록</t>
        </is>
      </c>
      <c r="E6" s="3" t="inlineStr">
        <is>
          <t>① [＋ 집합교육 등록] → 빈 채로 [등록]
② 내용 «남다슬_집합교육» · 일자 오늘 · 14:00~16:00 · 강사 · 장소를 넣고 [등록]</t>
        </is>
      </c>
      <c r="F6" s="3" t="inlineStr">
        <is>
          <t>빈 채로는 «교육 내용을 입력하세요.» 등록하면 «집합교육 등록 · 참석자 등록부 접수 개시», 카드가 생기고 시간이 2h로 계산된다</t>
        </is>
      </c>
      <c r="G6" s="29" t="n"/>
      <c r="H6" s="7" t="n"/>
      <c r="I6" s="7" t="n"/>
    </row>
    <row r="7" ht="126" customHeight="1">
      <c r="A7" s="28" t="n">
        <v>14</v>
      </c>
      <c r="B7" s="30" t="inlineStr">
        <is>
          <t>QA박안전2(재난안전과)</t>
        </is>
      </c>
      <c r="C7" s="30" t="inlineStr">
        <is>
          <t>안전보건교육 &gt; 현업근로자 &gt; 정기교육</t>
        </is>
      </c>
      <c r="D7" s="17" t="inlineStr">
        <is>
          <t>여러 날 교육</t>
        </is>
      </c>
      <c r="E7" s="3" t="inlineStr">
        <is>
          <t>[＋ 집합교육 등록]에서 ① 내용 «남다슬_집합교육_2일»을 먼저 넣고 [＋ 일자 추가]로 5일까지 늘린다
② 한 회차의 종료 시각을 시작보다 이르게 하고 [등록]
③ [이 일자 삭제]로 2일만 남기고, 남은 회차의 시각을 바르게(종료가 시작보다 뒤) 고쳐 [등록]</t>
        </is>
      </c>
      <c r="F7" s="3" t="inlineStr">
        <is>
          <t>5일이 되면 추가 버튼 자리에 «최대 5일»이 보인다. 종료가 시작보다 이르면 «…0h로 계산됩니다» 경고와 함께 [등록]이 «N회차의 일자·시작·종료 시각을 확인하세요…»로 막힌다. 등록하면 카드에 «…외 1일», 시간은 두 날의 합이다</t>
        </is>
      </c>
      <c r="G7" s="29" t="n"/>
      <c r="H7" s="7" t="n"/>
      <c r="I7" s="7" t="n"/>
    </row>
    <row r="8" ht="36" customHeight="1">
      <c r="A8" s="28" t="n">
        <v>15</v>
      </c>
      <c r="B8" s="30" t="inlineStr">
        <is>
          <t>QA박안전2(재난안전과)</t>
        </is>
      </c>
      <c r="C8" s="30" t="inlineStr">
        <is>
          <t>안전보건교육 &gt; 현업근로자 &gt; 정기교육</t>
        </is>
      </c>
      <c r="D8" s="17" t="inlineStr">
        <is>
          <t>집합교육 첨부 칸</t>
        </is>
      </c>
      <c r="E8" s="3" t="inlineStr">
        <is>
          <t>[＋ 집합교육 등록] 창의 첨부 영역을 보고 [취소]</t>
        </is>
      </c>
      <c r="F8" s="3" t="inlineStr">
        <is>
          <t>«참석자 명단» · «교육 자료» 두 칸이 있고 교육 사진 칸은 없다</t>
        </is>
      </c>
      <c r="G8" s="29" t="n"/>
      <c r="H8" s="7" t="n"/>
      <c r="I8" s="7" t="n"/>
    </row>
    <row r="9" ht="51" customHeight="1">
      <c r="A9" s="28" t="n">
        <v>16</v>
      </c>
      <c r="B9" s="30" t="inlineStr">
        <is>
          <t>QA박안전2(재난안전과)</t>
        </is>
      </c>
      <c r="C9" s="30" t="inlineStr">
        <is>
          <t>안전보건교육 &gt; 현업근로자 &gt; 정기교육</t>
        </is>
      </c>
      <c r="D9" s="17" t="inlineStr">
        <is>
          <t>그대로 저장해도 막히지 않는다</t>
        </is>
      </c>
      <c r="E9" s="3" t="inlineStr">
        <is>
          <t>13번 교육 카드의 [수정] → 아무것도 안 바꾸고 [저장]</t>
        </is>
      </c>
      <c r="F9" s="3" t="inlineStr">
        <is>
          <t>종료 시각 16:00이 채워져 있고 «교육 정보를 저장했습니다 · 교육시간 2h»가 뜬다(저장이 막히면 실패)</t>
        </is>
      </c>
      <c r="G9" s="29" t="n"/>
      <c r="H9" s="7" t="n"/>
      <c r="I9" s="7" t="n"/>
    </row>
    <row r="10" ht="66" customHeight="1">
      <c r="A10" s="28" t="n">
        <v>17</v>
      </c>
      <c r="B10" s="30" t="inlineStr">
        <is>
          <t>QA박안전2(재난안전과)</t>
        </is>
      </c>
      <c r="C10" s="30" t="inlineStr">
        <is>
          <t>안전보건교육 &gt; 현업근로자 &gt; 정기교육</t>
        </is>
      </c>
      <c r="D10" s="17" t="inlineStr">
        <is>
          <t>예전에 등록된 교육의 수정 창</t>
        </is>
      </c>
      <c r="E10" s="3" t="inlineStr">
        <is>
          <t>서버에 처음부터 있던 집합교육(예: «2026년 8월 정기 안전보건교육») 카드의 [수정]을 열어 종료 시각만 보고 [취소] — 남의 교육이라 저장하지 않는다</t>
        </is>
      </c>
      <c r="F10" s="3" t="inlineStr">
        <is>
          <t>종료 시각이 비어 있지 않고 시작 시각 + 교육시간으로 채워져 있다(8월 교육이면 17:00). 그런 교육이 없으면 «확인 불가»</t>
        </is>
      </c>
      <c r="G10" s="29" t="n"/>
      <c r="H10" s="7" t="n"/>
      <c r="I10" s="7" t="n"/>
    </row>
    <row r="11" ht="111" customHeight="1">
      <c r="A11" s="28" t="n">
        <v>18</v>
      </c>
      <c r="B11" s="3" t="inlineStr">
        <is>
          <t>QA하정수2(담당 공무원)</t>
        </is>
      </c>
      <c r="C11" s="30" t="inlineStr">
        <is>
          <t>안전보건교육 &gt; 현업근로자 &gt; 정기교육</t>
        </is>
      </c>
      <c r="D11" s="17" t="inlineStr">
        <is>
          <t>참석자 등록부 내기</t>
        </is>
      </c>
      <c r="E11" s="3" t="inlineStr">
        <is>
          <t>13번 교육 [상세 →] → [＋ 참석자 등록부 등록] ① 아무도 안 고르고 [신청 완료]
② «남다슬_근로자01» 포함 2명을 고르고 서명파일 없이 [신청 완료]
③ [＋ 서명파일 첨부] 후 실제 참석시간 3으로 [신청 완료]
④ 2로 고쳐 [신청 완료]</t>
        </is>
      </c>
      <c r="F11" s="3" t="inlineStr">
        <is>
          <t>부서는 내 부서(건설과)로 고정. ① «근로자를 1명 이상 선택하세요.» ② «서명파일을 업로드하세요 (필수).» ③ «실제 참석시간을 0보다 크고 교육 예정시간 이하로 입력하세요.»로 막히고 ④ «건설과 · 2명 신청 완료»</t>
        </is>
      </c>
      <c r="G11" s="29" t="n"/>
      <c r="H11" s="7" t="n"/>
      <c r="I11" s="7" t="n"/>
    </row>
    <row r="12" ht="36" customHeight="1">
      <c r="A12" s="28" t="n">
        <v>19</v>
      </c>
      <c r="B12" s="30" t="inlineStr">
        <is>
          <t>QA하정수2(담당 공무원)</t>
        </is>
      </c>
      <c r="C12" s="30" t="inlineStr">
        <is>
          <t>안전보건교육 &gt; 현업근로자 &gt; 정기교육</t>
        </is>
      </c>
      <c r="D12" s="17" t="inlineStr">
        <is>
          <t>같은 부서는 두 번 못 낸다</t>
        </is>
      </c>
      <c r="E12" s="3" t="inlineStr">
        <is>
          <t>같은 상세에서 [＋ 참석자 등록부 등록] → 1명 고르고 서명파일 첨부 → [신청 완료]</t>
        </is>
      </c>
      <c r="F12" s="3" t="inlineStr">
        <is>
          <t>«…이미 등록된 부서입니다 — 신청 취소 후 다시 등록하세요.»가 뜨고 줄이 늘지 않는다</t>
        </is>
      </c>
      <c r="G12" s="29" t="n"/>
      <c r="H12" s="7" t="n"/>
      <c r="I12" s="7" t="n"/>
    </row>
    <row r="13" ht="81" customHeight="1">
      <c r="A13" s="28" t="n">
        <v>20</v>
      </c>
      <c r="B13" s="3" t="inlineStr">
        <is>
          <t>QA박안전2(재난안전과) → QA하정수2(담당 공무원)</t>
        </is>
      </c>
      <c r="C13" s="30" t="inlineStr">
        <is>
          <t>안전보건교육 &gt; 현업근로자 &gt; 정기교육</t>
        </is>
      </c>
      <c r="D13" s="17" t="inlineStr">
        <is>
          <t>남의 부서 줄은 못 건드린다</t>
        </is>
      </c>
      <c r="E13" s="3" t="inlineStr">
        <is>
          <t>① QA박안전2 창에서 13번 교육 상세 → [＋ 참석자 등록부 등록] → 부서 재난안전과(기본값) 그대로 1명 고르고 서명파일 첨부 → [신청 완료]
② QA하정수2 창에서 같은 상세를 새로고침</t>
        </is>
      </c>
      <c r="F13" s="3" t="inlineStr">
        <is>
          <t>① «재난안전과 · 1명 신청 완료» ② QA하정수2 창의 재난안전과 줄에는 [신청 취소]가 없고 내 부서 줄에만 있다</t>
        </is>
      </c>
      <c r="G13" s="29" t="n"/>
      <c r="H13" s="7" t="n"/>
      <c r="I13" s="7" t="n"/>
    </row>
    <row r="14" ht="66" customHeight="1">
      <c r="A14" s="28" t="n">
        <v>21</v>
      </c>
      <c r="B14" s="3" t="inlineStr">
        <is>
          <t>QA하정수2(담당 공무원)</t>
        </is>
      </c>
      <c r="C14" s="30" t="inlineStr">
        <is>
          <t>안전보건교육 &gt; 현업근로자 &gt; 정기교육</t>
        </is>
      </c>
      <c r="D14" s="17" t="inlineStr">
        <is>
          <t>신청 취소하고 다시 내기</t>
        </is>
      </c>
      <c r="E14" s="3" t="inlineStr">
        <is>
          <t>① 내 부서 줄 [신청 취소] → 확인 창 → [신청 취소]
② 다시 «남다슬_근로자01» 포함 2명 · 서명파일 · 참석시간 2로 신청</t>
        </is>
      </c>
      <c r="F14" s="3" t="inlineStr">
        <is>
          <t>확인 창이 «신청 내역과 서명파일이 삭제됩니다.»를 알리고 «건설과 신청을 취소했습니다.» 후 줄이 빠진다. 다시 신청하면 줄이 돌아온다</t>
        </is>
      </c>
      <c r="G14" s="29" t="n"/>
      <c r="H14" s="7" t="n"/>
      <c r="I14" s="7" t="n"/>
    </row>
    <row r="15" ht="51" customHeight="1">
      <c r="A15" s="28" t="n">
        <v>22</v>
      </c>
      <c r="B15" s="3" t="inlineStr">
        <is>
          <t>QA박안전2(재난안전과)</t>
        </is>
      </c>
      <c r="C15" s="30" t="inlineStr">
        <is>
          <t>안전보건교육 &gt; 현업근로자 &gt; 정기교육</t>
        </is>
      </c>
      <c r="D15" s="17" t="inlineStr">
        <is>
          <t>교육 종료 처리</t>
        </is>
      </c>
      <c r="E15" s="3" t="inlineStr">
        <is>
          <t>13번 교육 상세 → [교육 종료 처리] → 확인 창을 읽고 [종료 처리]</t>
        </is>
      </c>
      <c r="F15" s="3" t="inlineStr">
        <is>
          <t>확인 창이 «신청 2개 부서 · 3명»을 알려 주고, 종료하면 «교육 종료 · 3명 카운트 완료», 상태가 완료로 바뀐다</t>
        </is>
      </c>
      <c r="G15" s="29" t="n"/>
      <c r="H15" s="7" t="n"/>
      <c r="I15" s="7" t="n"/>
    </row>
    <row r="16" ht="36" customHeight="1">
      <c r="A16" s="28" t="n">
        <v>23</v>
      </c>
      <c r="B16" s="3" t="inlineStr">
        <is>
          <t>QA하정수2(담당 공무원)</t>
        </is>
      </c>
      <c r="C16" s="30" t="inlineStr">
        <is>
          <t>안전보건교육 &gt; 현업근로자 &gt; 정기교육</t>
        </is>
      </c>
      <c r="D16" s="17" t="inlineStr">
        <is>
          <t>종료 처리는 재난안전과만</t>
        </is>
      </c>
      <c r="E16" s="3" t="inlineStr">
        <is>
          <t>14번 교육(진행 중)의 상세를 본다</t>
        </is>
      </c>
      <c r="F16" s="3" t="inlineStr">
        <is>
          <t>[교육 종료 처리]가 없다([＋ 참석자 등록부 등록]은 있다)</t>
        </is>
      </c>
      <c r="G16" s="29" t="n"/>
      <c r="H16" s="7" t="n"/>
      <c r="I16" s="7" t="n"/>
    </row>
    <row r="17" ht="51" customHeight="1">
      <c r="A17" s="28" t="n">
        <v>24</v>
      </c>
      <c r="B17" s="3" t="inlineStr">
        <is>
          <t>QA박안전2(재난안전과)</t>
        </is>
      </c>
      <c r="C17" s="30" t="inlineStr">
        <is>
          <t>안전보건교육 &gt; 현업근로자 &gt; 정기교육</t>
        </is>
      </c>
      <c r="D17" s="17" t="inlineStr">
        <is>
          <t>종료 뒤 정정은 사유가 필요</t>
        </is>
      </c>
      <c r="E17" s="3" t="inlineStr">
        <is>
          <t>13번 교육 상세의 재난안전과 줄 [완료기록 정정] ① 사유 없이 [취소이력 남기기]
② 사유를 넣고 [취소이력 남기기]</t>
        </is>
      </c>
      <c r="F17" s="3" t="inlineStr">
        <is>
          <t>① «정정 사유를 입력하세요.» ② «재난안전과 원 기록을 보존하고 취소이력을 남겼습니다.» 줄은 지워지지 않고 «등록취소»와 사유가 남는다</t>
        </is>
      </c>
      <c r="G17" s="29" t="n"/>
      <c r="H17" s="7" t="n"/>
      <c r="I17" s="7" t="n"/>
    </row>
    <row r="18" ht="51" customHeight="1">
      <c r="A18" s="28" t="n">
        <v>25</v>
      </c>
      <c r="B18" s="30" t="inlineStr">
        <is>
          <t>QA박안전2(재난안전과)</t>
        </is>
      </c>
      <c r="C18" s="30" t="inlineStr">
        <is>
          <t>안전보건교육 &gt; 현업근로자 &gt; 정기교육</t>
        </is>
      </c>
      <c r="D18" s="17" t="inlineStr">
        <is>
          <t>시간을 고치면 이수 기록도 바뀐다</t>
        </is>
      </c>
      <c r="E18" s="3" t="inlineStr">
        <is>
          <t>13번 교육 카드 [수정] → 종료 시각을 16:00에서 17:00으로 → [저장]</t>
        </is>
      </c>
      <c r="F18" s="3" t="inlineStr">
        <is>
          <t>«교육 정보를 저장했습니다 · 교육시간 3h · 이수기록 2건 갱신»(24번에서 정정한 재난안전과 몫은 빠진다)</t>
        </is>
      </c>
      <c r="G18" s="29" t="n"/>
      <c r="H18" s="7" t="n"/>
      <c r="I18" s="7" t="n"/>
    </row>
    <row r="19" ht="66" customHeight="1">
      <c r="A19" s="28" t="n">
        <v>26</v>
      </c>
      <c r="B19" s="30" t="inlineStr">
        <is>
          <t>QA박안전2(재난안전과)</t>
        </is>
      </c>
      <c r="C19" s="30" t="inlineStr">
        <is>
          <t>안전보건교육 &gt; 현업근로자 &gt; 정기교육</t>
        </is>
      </c>
      <c r="D19" s="17" t="inlineStr">
        <is>
          <t>삭제는 지울 건수를 알려 준다</t>
        </is>
      </c>
      <c r="E19" s="3" t="inlineStr">
        <is>
          <t>① 집합교육 «남다슬_삭제용»을 등록
② 그 카드의 [＋ 참석자 등록부 등록]으로 재난안전과 1명 신청
③ [삭제] → 확인 창을 읽고 [삭제]</t>
        </is>
      </c>
      <c r="F19" s="3" t="inlineStr">
        <is>
          <t>확인 창이 «신청 1개 부서 · 1명 신청 내역이 함께 삭제됩니다.»를 알리고, 삭제하면 «교육을 삭제했습니다 · 신청 1건 · 이수기록 0건 회수»</t>
        </is>
      </c>
      <c r="G19" s="29" t="n"/>
      <c r="H19" s="7" t="n"/>
      <c r="I19" s="7" t="n"/>
    </row>
  </sheetData>
  <autoFilter ref="A3:I19"/>
  <mergeCells count="2">
    <mergeCell ref="A1:I1"/>
    <mergeCell ref="A2:I2"/>
  </mergeCells>
  <conditionalFormatting sqref="G4:G1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9">
    <cfRule type="expression" priority="7" dxfId="7">
      <formula>AND(OR($G4="실패",$G4="오류",$G4="문의"),$H4="")</formula>
    </cfRule>
  </conditionalFormatting>
  <dataValidations count="1">
    <dataValidation sqref="G4:G1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3 자체·채용시·기타</t>
        </is>
      </c>
    </row>
    <row r="2" ht="24" customHeight="1">
      <c r="A2" s="26" t="inlineStr">
        <is>
          <t>🗂 자체·기타 교육은 각 부서가 등록합니다. 대상자는 1번 시트에서 만든 내 근로자를 고릅니다.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27</v>
      </c>
      <c r="B4" s="3" t="inlineStr">
        <is>
          <t>QA하정수2(담당 공무원)</t>
        </is>
      </c>
      <c r="C4" s="3" t="inlineStr">
        <is>
          <t>안전보건교육 &gt; 현업근로자 &gt; 정기교육</t>
        </is>
      </c>
      <c r="D4" s="17" t="inlineStr">
        <is>
          <t>자체교육 등록</t>
        </is>
      </c>
      <c r="E4" s="3" t="inlineStr">
        <is>
          <t>[자체교육 (부서)] → [＋ 자체교육 등록·진행] ① 아무것도 안 넣고 [진행 처리]
② 내용 «남다슬_자체교육»만 넣고 [진행 처리]
③ 시각 08:00~18:00 · 대상자 «남다슬_근로자01»·남다슬_근로자C · 증빙을 넣고 [진행 처리]</t>
        </is>
      </c>
      <c r="F4" s="3" t="inlineStr">
        <is>
          <t>① «교육 내용을 입력하세요.» ② «교육 대상자를 1명 이상 선택하세요.» ③ «건설과 자체교육 완료 · 10h · 2명 카운트», 목록에 생긴다. 부서는 내 부서(건설과)로 고정</t>
        </is>
      </c>
      <c r="G4" s="29" t="n"/>
      <c r="H4" s="7" t="n"/>
      <c r="I4" s="7" t="n"/>
    </row>
    <row r="5" ht="36" customHeight="1">
      <c r="A5" s="28" t="n">
        <v>28</v>
      </c>
      <c r="B5" s="30" t="inlineStr">
        <is>
          <t>QA하정수2(담당 공무원)</t>
        </is>
      </c>
      <c r="C5" s="30" t="inlineStr">
        <is>
          <t>안전보건교육 &gt; 현업근로자 &gt; 정기교육</t>
        </is>
      </c>
      <c r="D5" s="17" t="inlineStr">
        <is>
          <t>자체교육 첨부 칸</t>
        </is>
      </c>
      <c r="E5" s="3" t="inlineStr">
        <is>
          <t>자체교육 등록 창의 첨부 영역을 보고 [취소]</t>
        </is>
      </c>
      <c r="F5" s="3" t="inlineStr">
        <is>
          <t>«교육일지 및 교육사진 등» 한 칸이다</t>
        </is>
      </c>
      <c r="G5" s="29" t="n"/>
      <c r="H5" s="7" t="n"/>
      <c r="I5" s="7" t="n"/>
    </row>
    <row r="6" ht="36" customHeight="1">
      <c r="A6" s="28" t="n">
        <v>29</v>
      </c>
      <c r="B6" s="3" t="inlineStr">
        <is>
          <t>QA박안전2(재난안전과)</t>
        </is>
      </c>
      <c r="C6" s="3" t="inlineStr">
        <is>
          <t>안전보건교육 &gt; 현업근로자 &gt; 채용시교육</t>
        </is>
      </c>
      <c r="D6" s="17" t="inlineStr">
        <is>
          <t>탭과 새 근로자</t>
        </is>
      </c>
      <c r="E6" s="3" t="inlineStr">
        <is>
          <t>[전체] · [미이수] · [이수] 탭을 보고 [미이수]에서 «남다슬_근로자01»을 검색한다</t>
        </is>
      </c>
      <c r="F6" s="3" t="inlineStr">
        <is>
          <t>탭이 셋이고(«교육 건» 탭 없음) «남다슬_근로자01» 줄이 미이수에 있다</t>
        </is>
      </c>
      <c r="G6" s="29" t="n"/>
      <c r="H6" s="7" t="n"/>
      <c r="I6" s="7" t="n"/>
    </row>
    <row r="7" ht="66" customHeight="1">
      <c r="A7" s="28" t="n">
        <v>30</v>
      </c>
      <c r="B7" s="30" t="inlineStr">
        <is>
          <t>QA박안전2(재난안전과)</t>
        </is>
      </c>
      <c r="C7" s="30" t="inlineStr">
        <is>
          <t>안전보건교육 &gt; 현업근로자 &gt; 채용시교육</t>
        </is>
      </c>
      <c r="D7" s="17" t="inlineStr">
        <is>
          <t>필요 시간</t>
        </is>
      </c>
      <c r="E7" s="3" t="inlineStr">
        <is>
          <t>목록의 고용형태·필요시간·상태를 본다</t>
        </is>
      </c>
      <c r="F7" s="3" t="inlineStr">
        <is>
          <t>필요시간이 일용·1주 이하 1h · 1개월 이하 4h · 그 밖 8h 규칙대로다(«남다슬_근로자01»은 기간제 6개월이라 8h). 상태는 미이수 · 정상 이수 · 지연 이수 중 하나다</t>
        </is>
      </c>
      <c r="G7" s="29" t="n"/>
      <c r="H7" s="7" t="n"/>
      <c r="I7" s="7" t="n"/>
    </row>
    <row r="8" ht="126" customHeight="1">
      <c r="A8" s="28" t="n">
        <v>31</v>
      </c>
      <c r="B8" s="30" t="inlineStr">
        <is>
          <t>QA박안전2(재난안전과)</t>
        </is>
      </c>
      <c r="C8" s="30" t="inlineStr">
        <is>
          <t>안전보건교육 &gt; 현업근로자 &gt; 채용시교육</t>
        </is>
      </c>
      <c r="D8" s="17" t="inlineStr">
        <is>
          <t>채용시 교육 추가</t>
        </is>
      </c>
      <c r="E8" s="3" t="inlineStr">
        <is>
          <t>[＋ 채용시 교육 추가] ① 대상자 없이 [교육기록 등록]
② 대상자 부서를 내 부서(건설과)로 거르고 «남다슬_근로자01»만 체크, 시각 09:00~17:00, 내용 «남다슬_채용시교육» → 증빙 없이 [교육기록 등록]
③ «교육일지 및 교육사진 등» 칸에 파일을 넣고 [교육기록 등록]</t>
        </is>
      </c>
      <c r="F8" s="3" t="inlineStr">
        <is>
          <t>① «교육 대상자를 1명 이상 선택하세요.» ② «교육일지 및 교육사진 등 증빙을 첨부하세요.» ③ «1명 교육기록 등록 · 이수 완료 1명» 후 [이수] 탭으로 옮겨 가고 상태가 정상 이수다</t>
        </is>
      </c>
      <c r="G8" s="29" t="n"/>
      <c r="H8" s="7" t="n"/>
      <c r="I8" s="7" t="n"/>
    </row>
    <row r="9" ht="141" customHeight="1">
      <c r="A9" s="28" t="n">
        <v>32</v>
      </c>
      <c r="B9" s="30" t="inlineStr">
        <is>
          <t>QA박안전2(재난안전과)</t>
        </is>
      </c>
      <c r="C9" s="30" t="inlineStr">
        <is>
          <t>안전보건교육 &gt; 현업근로자 &gt; 채용시교육</t>
        </is>
      </c>
      <c r="D9" s="17" t="inlineStr">
        <is>
          <t>여러 명 한 번에</t>
        </is>
      </c>
      <c r="E9" s="3" t="inlineStr">
        <is>
          <t>[미이수] 탭 ① 아무도 체크하지 않고 [선택 교육기록 등록 (0)]
② 부서 조건을 내 부서(건설과)로 걸고 10번의 남다슬_근로자A·남다슬_근로자B을 체크 → [선택 교육기록 등록 (2)]
③ 실제 교육일을 비우고 [교육기록 등록]
④ 교육일을 오늘로, 증빙 없이 [교육기록 등록]
⑤ 증빙 파일을 골라 [교육기록 등록]</t>
        </is>
      </c>
      <c r="F9" s="3" t="inlineStr">
        <is>
          <t>① «미이수자를 1명 이상 선택하세요.» ③ «실제 교육일을 입력하세요.» ④ «교육일지·서명부 증빙을 선택하세요.» ⑤ «2명 소급 교육기록 등록 · 이수 완료 2명 · 교육 건 2건 생성»</t>
        </is>
      </c>
      <c r="G9" s="29" t="n"/>
      <c r="H9" s="7" t="n"/>
      <c r="I9" s="7" t="n"/>
    </row>
    <row r="10" ht="66" customHeight="1">
      <c r="A10" s="28" t="n">
        <v>33</v>
      </c>
      <c r="B10" s="30" t="inlineStr">
        <is>
          <t>QA박안전2(재난안전과)</t>
        </is>
      </c>
      <c r="C10" s="30" t="inlineStr">
        <is>
          <t>안전보건교육 &gt; 현업근로자 &gt; 채용시교육</t>
        </is>
      </c>
      <c r="D10" s="17" t="inlineStr">
        <is>
          <t>이수 수정·되돌리기</t>
        </is>
      </c>
      <c r="E10" s="3" t="inlineStr">
        <is>
          <t>31번 «남다슬_근로자01» 줄 ① [이수 수정] → 이수일을 어제로 [저장]
② 다시 [이수 수정] → [이수 기록 삭제] → 확인 창 → [이수 취소]</t>
        </is>
      </c>
      <c r="F10" s="3" t="inlineStr">
        <is>
          <t>① «이수일을 수정했습니다 — (어제 날짜)» ② 확인 창이 회수될 시간을 알려 주고 «이수기록 1건 회수 · 미이수로 되돌렸습니다…», 다시 [미이수]에 있다</t>
        </is>
      </c>
      <c r="G10" s="29" t="n"/>
      <c r="H10" s="7" t="n"/>
      <c r="I10" s="7" t="n"/>
    </row>
    <row r="11" ht="36" customHeight="1">
      <c r="A11" s="28" t="n">
        <v>34</v>
      </c>
      <c r="B11" s="3" t="inlineStr">
        <is>
          <t>QA하정수2(담당 공무원)</t>
        </is>
      </c>
      <c r="C11" s="30" t="inlineStr">
        <is>
          <t>안전보건교육 &gt; 현업근로자 &gt; 채용시교육</t>
        </is>
      </c>
      <c r="D11" s="17" t="inlineStr">
        <is>
          <t>내 부서만 보인다</t>
        </is>
      </c>
      <c r="E11" s="3" t="inlineStr">
        <is>
          <t>목록과 부서 조건을 본다</t>
        </is>
      </c>
      <c r="F11" s="3" t="inlineStr">
        <is>
          <t>내 부서(건설과) 사람만 보이고 부서 조건에도 내 부서만 있다</t>
        </is>
      </c>
      <c r="G11" s="29" t="n"/>
      <c r="H11" s="7" t="n"/>
      <c r="I11" s="7" t="n"/>
    </row>
    <row r="12" ht="96" customHeight="1">
      <c r="A12" s="28" t="n">
        <v>35</v>
      </c>
      <c r="B12" s="3" t="inlineStr">
        <is>
          <t>QA박안전2(재난안전과)</t>
        </is>
      </c>
      <c r="C12" s="3" t="inlineStr">
        <is>
          <t>안전보건교육 &gt; 관리감독자 &gt; 채용시교육</t>
        </is>
      </c>
      <c r="D12" s="17" t="inlineStr">
        <is>
          <t>지정일이 없으면 판정하지 않는다</t>
        </is>
      </c>
      <c r="E12" s="3" t="inlineStr">
        <is>
          <t>[전체] 탭과 [미이수]·[이수] 탭을 차례로 본다</t>
        </is>
      </c>
      <c r="F12" s="3" t="inlineStr">
        <is>
          <t>위 안내에 «지정일이 등록되지 않은 사람은 '판정 불가'…»가 있다. 지정일 없는 사람은 «판정 불가 — 지정일 미등록»이고 [미이수]·[이수] 어느 탭에도 없다(그래서 전체 숫자가 미이수 + 이수보다 크다). 4번의 «남다슬_관리감독자»는 [미이수]에 있다</t>
        </is>
      </c>
      <c r="G12" s="29" t="n"/>
      <c r="H12" s="7" t="n"/>
      <c r="I12" s="7" t="n"/>
    </row>
    <row r="13" ht="111" customHeight="1">
      <c r="A13" s="28" t="n">
        <v>36</v>
      </c>
      <c r="B13" s="30" t="inlineStr">
        <is>
          <t>QA박안전2(재난안전과)</t>
        </is>
      </c>
      <c r="C13" s="3" t="inlineStr">
        <is>
          <t>안전보건교육 &gt; 현업근로자 &gt; 기타 교육</t>
        </is>
      </c>
      <c r="D13" s="17" t="inlineStr">
        <is>
          <t>기타 교육 등록</t>
        </is>
      </c>
      <c r="E13" s="3" t="inlineStr">
        <is>
          <t>[＋ 기타 교육 등록·진행] ① 빈 채로 [진행 처리]
② 교육 분류 «작업내용 변경 시 교육» · 부서는 [조직도]에서 내 부서(건설과) · 내용 «남다슬_기타교육»을 넣고 대상자 없이 [진행 처리]
③ «남다슬_근로자01»을 체크하고 교육 시간 0.5로 [진행 처리]</t>
        </is>
      </c>
      <c r="F13" s="3" t="inlineStr">
        <is>
          <t>① «일자·시각·시간·내용을 모두 입력하세요.» 분류를 고르면 법정 최소 교육시간(1시간 · 2시간)과 근거가 보인다. ② «대상자를 1명 이상 선택하세요.» ③ 막지 않고 «작업내용 변경 시 교육 진행 완료 · 1명 · 법정 최소 미달 1명», 카드에 «법정 최소 미달 1명»</t>
        </is>
      </c>
      <c r="G13" s="29" t="n"/>
      <c r="H13" s="7" t="n"/>
      <c r="I13" s="7" t="n"/>
    </row>
    <row r="14" ht="126" customHeight="1">
      <c r="A14" s="28" t="n">
        <v>37</v>
      </c>
      <c r="B14" s="30" t="inlineStr">
        <is>
          <t>QA박안전2(재난안전과)</t>
        </is>
      </c>
      <c r="C14" s="30" t="inlineStr">
        <is>
          <t>안전보건교육 &gt; 현업근로자 &gt; 기타 교육</t>
        </is>
      </c>
      <c r="D14" s="17" t="inlineStr">
        <is>
          <t>특별교육 대상 작업</t>
        </is>
      </c>
      <c r="E14" s="3" t="inlineStr">
        <is>
          <t>① 분류 «특별교육» · 부서는 [조직도]에서 내 부서(건설과) · 내용 «남다슬_특별교육» · 대상자 «남다슬_근로자01» → 대상 작업 없이 [진행 처리]
② 대상 작업 두 개와 «기타 — 목록에 없어 법령 매핑이 필요한 작업»을 체크하고 그 칸을 그대로 둔 채 [진행 처리]
③ 기타 칸에 내용을 적고 [진행 처리]</t>
        </is>
      </c>
      <c r="F14" s="3" t="inlineStr">
        <is>
          <t>① «특별교육 대상 작업을 1건 이상 선택하세요.» ② «기타 대상 작업 내용을 입력하세요.» ③ «특별교육 진행 완료 · 1명 카운트», 카드에 «대상 작업 3건». 여러 개를 함께 고를 수 있다</t>
        </is>
      </c>
      <c r="G14" s="29" t="n"/>
      <c r="H14" s="7" t="n"/>
      <c r="I14" s="7" t="n"/>
    </row>
    <row r="15" ht="51" customHeight="1">
      <c r="A15" s="28" t="n">
        <v>38</v>
      </c>
      <c r="B15" s="30" t="inlineStr">
        <is>
          <t>QA박안전2(재난안전과)</t>
        </is>
      </c>
      <c r="C15" s="3" t="inlineStr">
        <is>
          <t>안전보건교육 &gt; 관리감독자 &gt; 기타 교육</t>
        </is>
      </c>
      <c r="D15" s="17" t="inlineStr">
        <is>
          <t>관리감독자 유형은 다르다</t>
        </is>
      </c>
      <c r="E15" s="3" t="inlineStr">
        <is>
          <t>등록 창의 교육 분류 목록과 법정 시간을 36번(현업근로자) 창과 비교하고 [취소]</t>
        </is>
      </c>
      <c r="F15" s="3" t="inlineStr">
        <is>
          <t>«건설업 기초안전보건교육»이 없고, 작업내용 변경 시 교육은 관리감독자 2시간 · 특별교육은 관리감독자 16시간 한 가지 기준이다</t>
        </is>
      </c>
      <c r="G15" s="29" t="n"/>
      <c r="H15" s="7" t="n"/>
      <c r="I15" s="7" t="n"/>
    </row>
    <row r="16" ht="96" customHeight="1">
      <c r="A16" s="28" t="n">
        <v>39</v>
      </c>
      <c r="B16" s="3" t="inlineStr">
        <is>
          <t>QA하정수2(담당 공무원)</t>
        </is>
      </c>
      <c r="C16" s="3" t="inlineStr">
        <is>
          <t>안전보건교육 &gt; 현업근로자 &gt; 기타 교육</t>
        </is>
      </c>
      <c r="D16" s="17" t="inlineStr">
        <is>
          <t>내 부서 교육만 고친다</t>
        </is>
      </c>
      <c r="E16" s="3" t="inlineStr">
        <is>
          <t>① [＋ 기타 교육 등록·진행] → 내용 «남다슬_기타교육_부서» · 대상자 남다슬_근로자D · 시간 2 → [진행 처리]
② 그 카드 [수정] → 시간 3 → [저장]
③ 그 카드 [삭제] → 확인 창 → [삭제]
④ 다른 부서 카드를 본다</t>
        </is>
      </c>
      <c r="F16" s="3" t="inlineStr">
        <is>
          <t>부서는 내 부서(건설과)로 고정. ② «기타 교육 정보를 저장했습니다 · 이수기록 1건 갱신.» ③ 확인 창이 «대상자 1명에게 반영된 이수시간 3h 도 함께 회수»를 알리고 «기타 교육을 삭제했습니다 · 이수기록 1건 회수» ④ 다른 부서 카드에는 [수정]·[삭제]가 없다</t>
        </is>
      </c>
      <c r="G16" s="29" t="n"/>
      <c r="H16" s="7" t="n"/>
      <c r="I16" s="7" t="n"/>
    </row>
    <row r="17" ht="51" customHeight="1">
      <c r="A17" s="28" t="n">
        <v>40</v>
      </c>
      <c r="B17" s="3" t="inlineStr">
        <is>
          <t>QA박안전2(재난안전과)</t>
        </is>
      </c>
      <c r="C17" s="3" t="inlineStr">
        <is>
          <t>안전보건교육 &gt; 관리감독자 &gt; 정기교육</t>
        </is>
      </c>
      <c r="D17" s="17" t="inlineStr">
        <is>
          <t>관리감독자 정기교육 대상자</t>
        </is>
      </c>
      <c r="E17" s="3" t="inlineStr">
        <is>
          <t>[자체교육 (부서)] → [＋ 자체교육 등록·진행] → 부서를 [조직도]에서 내 부서(건설과)로 바꿔 대상자 목록을 보고 [취소]</t>
        </is>
      </c>
      <c r="F17" s="3" t="inlineStr">
        <is>
          <t>관리감독자만 대상자로 나온다 — 4번의 «남다슬_관리감독자»는 있고 «남다슬_근로자01»은 없다</t>
        </is>
      </c>
      <c r="G17" s="29" t="n"/>
      <c r="H17" s="7" t="n"/>
      <c r="I17" s="7" t="n"/>
    </row>
  </sheetData>
  <autoFilter ref="A3:I17"/>
  <mergeCells count="2">
    <mergeCell ref="A1:I1"/>
    <mergeCell ref="A2:I2"/>
  </mergeCells>
  <conditionalFormatting sqref="G4:G1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7">
    <cfRule type="expression" priority="7" dxfId="7">
      <formula>AND(OR($G4="실패",$G4="오류",$G4="문의"),$H4="")</formula>
    </cfRule>
  </conditionalFormatting>
  <dataValidations count="1">
    <dataValidation sqref="G4:G1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4 이수현황</t>
        </is>
      </c>
    </row>
    <row r="2" ht="24" customHeight="1">
      <c r="A2" s="26" t="inlineStr">
        <is>
          <t>🗂 2·3번 시트에서 끝낸 교육이 여기 모입니다. 독촉은 내 부서 사람에게만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41</v>
      </c>
      <c r="B4" s="3" t="inlineStr">
        <is>
          <t>QA박안전2(재난안전과)</t>
        </is>
      </c>
      <c r="C4" s="3" t="inlineStr">
        <is>
          <t>안전보건교육 &gt; 이수현황</t>
        </is>
      </c>
      <c r="D4" s="17" t="inlineStr">
        <is>
          <t>부서별 요약과 상세</t>
        </is>
      </c>
      <c r="E4" s="3" t="inlineStr">
        <is>
          <t>[부서별 요약]에서 내 부서(건설과) 줄의 대상·완료 인원을 보고 [상세]</t>
        </is>
      </c>
      <c r="F4" s="3" t="inlineStr">
        <is>
          <t>요약의 대상 인원이 상세 목록 인원과, 완료 인원이 상세의 «완료» 수와 같다</t>
        </is>
      </c>
      <c r="G4" s="29" t="n"/>
      <c r="H4" s="7" t="n"/>
      <c r="I4" s="7" t="n"/>
    </row>
    <row r="5" ht="36" customHeight="1">
      <c r="A5" s="28" t="n">
        <v>42</v>
      </c>
      <c r="B5" s="30" t="inlineStr">
        <is>
          <t>QA박안전2(재난안전과)</t>
        </is>
      </c>
      <c r="C5" s="30" t="inlineStr">
        <is>
          <t>안전보건교육 &gt; 이수현황</t>
        </is>
      </c>
      <c r="D5" s="17" t="inlineStr">
        <is>
          <t>대상 없는 부서</t>
        </is>
      </c>
      <c r="E5" s="3" t="inlineStr">
        <is>
          <t>구분 조건을 «판매»로 걸고 대상 인원이 0명인 부서 줄을 본다 → [필터 초기화]</t>
        </is>
      </c>
      <c r="F5" s="3" t="inlineStr">
        <is>
          <t>0명인 부서의 완료율이 0%가 아니라 «대상 없음»이다. 0명인 부서가 없으면 «확인 불가»</t>
        </is>
      </c>
      <c r="G5" s="29" t="n"/>
      <c r="H5" s="7" t="n"/>
      <c r="I5" s="7" t="n"/>
    </row>
    <row r="6" ht="51" customHeight="1">
      <c r="A6" s="28" t="n">
        <v>43</v>
      </c>
      <c r="B6" s="30" t="inlineStr">
        <is>
          <t>QA박안전2(재난안전과)</t>
        </is>
      </c>
      <c r="C6" s="30" t="inlineStr">
        <is>
          <t>안전보건교육 &gt; 이수현황</t>
        </is>
      </c>
      <c r="D6" s="17" t="inlineStr">
        <is>
          <t>시간 계산</t>
        </is>
      </c>
      <c r="E6" s="3" t="inlineStr">
        <is>
          <t>[대상자별 상세]에서 «남다슬_근로자01»을 검색해 필요·인정·미달·정기를 본다</t>
        </is>
      </c>
      <c r="F6" s="3" t="inlineStr">
        <is>
          <t>필요 12h · 인정 13h(13번 집합 3h + 27번 자체 10h) · 미달 0h(음수가 아니다) · 정기 «완료»</t>
        </is>
      </c>
      <c r="G6" s="29" t="n"/>
      <c r="H6" s="7" t="n"/>
      <c r="I6" s="7" t="n"/>
    </row>
    <row r="7" ht="51" customHeight="1">
      <c r="A7" s="28" t="n">
        <v>44</v>
      </c>
      <c r="B7" s="30" t="inlineStr">
        <is>
          <t>QA박안전2(재난안전과)</t>
        </is>
      </c>
      <c r="C7" s="30" t="inlineStr">
        <is>
          <t>안전보건교육 &gt; 이수현황</t>
        </is>
      </c>
      <c r="D7" s="17" t="inlineStr">
        <is>
          <t>여러 조건</t>
        </is>
      </c>
      <c r="E7" s="3" t="inlineStr">
        <is>
          <t>[대상자별 상세]에서 부서·구분·고용형태·이수 상태를 함께 건다 → [필터 초기화]</t>
        </is>
      </c>
      <c r="F7" s="3" t="inlineStr">
        <is>
          <t>조건대로 걸러지고 위 «조회 대상 …» 표시가 건 구분·고용형태를 보여 준다. 초기화하면 전체로 돌아온다</t>
        </is>
      </c>
      <c r="G7" s="29" t="n"/>
      <c r="H7" s="7" t="n"/>
      <c r="I7" s="7" t="n"/>
    </row>
    <row r="8" ht="51" customHeight="1">
      <c r="A8" s="28" t="n">
        <v>45</v>
      </c>
      <c r="B8" s="3" t="inlineStr">
        <is>
          <t>QA하정수2(담당 공무원)</t>
        </is>
      </c>
      <c r="C8" s="30" t="inlineStr">
        <is>
          <t>안전보건교육 &gt; 이수현황</t>
        </is>
      </c>
      <c r="D8" s="17" t="inlineStr">
        <is>
          <t>남의 부서 상세는 못 본다</t>
        </is>
      </c>
      <c r="E8" s="3" t="inlineStr">
        <is>
          <t>[부서별 요약]을 본다</t>
        </is>
      </c>
      <c r="F8" s="3" t="inlineStr">
        <is>
          <t>내 부서 줄에만 [상세]가 있고 다른 줄은 «—»다(버튼이 있는데 누르면 거절되면 실패). 다른 부서의 합계 숫자는 보인다</t>
        </is>
      </c>
      <c r="G8" s="29" t="n"/>
      <c r="H8" s="7" t="n"/>
      <c r="I8" s="7" t="n"/>
    </row>
    <row r="9" ht="96" customHeight="1">
      <c r="A9" s="28" t="n">
        <v>46</v>
      </c>
      <c r="B9" s="3" t="inlineStr">
        <is>
          <t>QA박안전2(재난안전과)</t>
        </is>
      </c>
      <c r="C9" s="30" t="inlineStr">
        <is>
          <t>안전보건교육 &gt; 이수현황</t>
        </is>
      </c>
      <c r="D9" s="17" t="inlineStr">
        <is>
          <t>독촉</t>
        </is>
      </c>
      <c r="E9" s="3" t="inlineStr">
        <is>
          <t>[대상자별 상세] ① 아무도 체크하지 않고 [일괄 독촉 (0)]
② 부서를 내 부서(건설과)로 걸고 10번의 남다슬_근로자A·남다슬_근로자B을 체크 → [일괄 독촉 (2)] → [독촉 발송]
③ [📜 독촉 이력]</t>
        </is>
      </c>
      <c r="F9" s="3" t="inlineStr">
        <is>
          <t>① «미이수자를 1명 이상 선택하세요.» ② «1개 부서, 2명 독촉 알림 기록 완료 (실제 문자·메일 미발송)» ③ 이력에 내 부서 2명 줄이 있고 발신이 내 QA박안전2 계정 이름이다</t>
        </is>
      </c>
      <c r="G9" s="29" t="n"/>
      <c r="H9" s="7" t="n"/>
      <c r="I9" s="7" t="n"/>
    </row>
    <row r="10" ht="36" customHeight="1">
      <c r="A10" s="28" t="n">
        <v>47</v>
      </c>
      <c r="B10" s="30" t="inlineStr">
        <is>
          <t>QA박안전2(재난안전과)</t>
        </is>
      </c>
      <c r="C10" s="30" t="inlineStr">
        <is>
          <t>안전보건교육 &gt; 이수현황</t>
        </is>
      </c>
      <c r="D10" s="17" t="inlineStr">
        <is>
          <t>이수 확인서</t>
        </is>
      </c>
      <c r="E10" s="3" t="inlineStr">
        <is>
          <t>43번의 «남다슬_근로자01» 줄 [발급]</t>
        </is>
      </c>
      <c r="F10" s="3" t="inlineStr">
        <is>
          <t>보고서·제증명 화면이 열리고 발급 대상자에 «남다슬_근로자01 · 건설과»가 채워져 있다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5 공문·결재 이력</t>
        </is>
      </c>
    </row>
    <row r="2" ht="24" customHeight="1">
      <c r="A2" s="26" t="inlineStr">
        <is>
          <t>🗂 적힌 순서대로 합니다 — 49번(QA하정수2)은 13번 교육 공문을 올리기 전에 봅니다. 상신하면 바로 «결재완료»(내부 처리)로 끝납니다. 검토·결재에 넣을 다른 두 사람의 박안전 계정은 단체방에서 미리 정해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48</v>
      </c>
      <c r="B4" s="3" t="inlineStr">
        <is>
          <t>QA박안전2(재난안전과)</t>
        </is>
      </c>
      <c r="C4" s="3" t="inlineStr">
        <is>
          <t>안전보건교육 &gt; 현업근로자 &gt; 정기교육</t>
        </is>
      </c>
      <c r="D4" s="17" t="inlineStr">
        <is>
          <t>끝난 교육만 공문을 쓴다</t>
        </is>
      </c>
      <c r="E4" s="3" t="inlineStr">
        <is>
          <t>14번(진행 중)과 13번(종료) 교육 카드를 비교한다</t>
        </is>
      </c>
      <c r="F4" s="3" t="inlineStr">
        <is>
          <t>진행 중인 14번 카드에는 [공문 기안]이 없고, 종료된 13번 카드에만 [공문 기안]이 있다</t>
        </is>
      </c>
      <c r="G4" s="29" t="n"/>
      <c r="H4" s="7" t="n"/>
      <c r="I4" s="7" t="n"/>
    </row>
    <row r="5" ht="51" customHeight="1">
      <c r="A5" s="28" t="n">
        <v>49</v>
      </c>
      <c r="B5" s="3" t="inlineStr">
        <is>
          <t>QA하정수2(담당 공무원)</t>
        </is>
      </c>
      <c r="C5" s="30" t="inlineStr">
        <is>
          <t>안전보건교육 &gt; 현업근로자 &gt; 정기교육</t>
        </is>
      </c>
      <c r="D5" s="17" t="inlineStr">
        <is>
          <t>공문은 교육을 등록한 부서가 쓴다</t>
        </is>
      </c>
      <c r="E5" s="3" t="inlineStr">
        <is>
          <t>① 27번 자체교육 카드
② 13번 집합교육 카드를 본다(누르지 않는다)</t>
        </is>
      </c>
      <c r="F5" s="3" t="inlineStr">
        <is>
          <t>27번 카드에는 [공문 기안]이 있다. 13번 카드에는 버튼 대신 «여러 부서를 묶은 건이라 재난안전과 담당자가 기안합니다.»가 보인다</t>
        </is>
      </c>
      <c r="G5" s="29" t="n"/>
      <c r="H5" s="7" t="n"/>
      <c r="I5" s="7" t="n"/>
    </row>
    <row r="6" ht="141" customHeight="1">
      <c r="A6" s="28" t="n">
        <v>50</v>
      </c>
      <c r="B6" s="3" t="inlineStr">
        <is>
          <t>QA박안전2(재난안전과)</t>
        </is>
      </c>
      <c r="C6" s="30" t="inlineStr">
        <is>
          <t>안전보건교육 &gt; 현업근로자 &gt; 정기교육</t>
        </is>
      </c>
      <c r="D6" s="17" t="inlineStr">
        <is>
          <t>결재선 — 같은 사람을 두 번 못 넣는다</t>
        </is>
      </c>
      <c r="E6" s="3" t="inlineStr">
        <is>
          <t>13번 교육 [공문 기안] ① 결재 [조직도]에서 단체방에서 정한 결재 담당 박안전 계정(내 번호가 아닌 것)을 고른다
② 검토 [조직도]를 열어 내 이름과 ①의 사람을 찾는다
③ [＋ 검토]로 빈 칸을 더하고 본문을 한 줄 쓴 뒤 [문서 미리보기 →]
④ [← 수정] → 더한 칸 [×] → [닫기](상신하지 않는다)</t>
        </is>
      </c>
      <c r="F6" s="3" t="inlineStr">
        <is>
          <t>② 내 이름은 «기안자», ①의 사람은 «결재 지정됨»으로 흐리게 나와 고를 수 없다 ③ 결재선 아래 «결재선을 확인하세요»가 뜨고, 미리보기에는 [온나라로 결재 상신] 대신 «지정하지 않은 단계가 …건 있습니다…»가 나온다</t>
        </is>
      </c>
      <c r="G6" s="29" t="n"/>
      <c r="H6" s="7" t="n"/>
      <c r="I6" s="7" t="n"/>
    </row>
    <row r="7" ht="186" customHeight="1">
      <c r="A7" s="28" t="n">
        <v>51</v>
      </c>
      <c r="B7" s="30" t="inlineStr">
        <is>
          <t>QA박안전2(재난안전과)</t>
        </is>
      </c>
      <c r="C7" s="30" t="inlineStr">
        <is>
          <t>안전보건교육 &gt; 현업근로자 &gt; 정기교육</t>
        </is>
      </c>
      <c r="D7" s="17" t="inlineStr">
        <is>
          <t>공문 쓰기 → 미리보기 → 상신</t>
        </is>
      </c>
      <c r="E7" s="3" t="inlineStr">
        <is>
          <t>13번 교육 [공문 기안] ① 제목을 지우고 [문서 미리보기 →]
② 제목을 «2026년 안전보건교육 실시 결과 보고 — 남다슬_집합교육»으로 다시 넣고 본문 없이 [문서 미리보기 →]
③ 본문을 직접 쓰고(삽입 조각도 눌러 본다) 붙임을 체크한다
④ 결재선 검토·결재에 단체방에서 정한 다른 두 사람의 박안전 계정을 고른다 — 처음 채워져 있는 기본값(실제 직원)은 반드시 바꾼다
⑤ [문서 미리보기 →] → [온나라로 결재 상신] → [상신]</t>
        </is>
      </c>
      <c r="F7" s="3" t="inlineStr">
        <is>
          <t>① «공문 제목을 입력하세요.» ② «공문 본문을 입력하세요.» 기안 창에는 상신 버튼이 없고 붙임은 올려 둔 파일에서 체크만 한다(새로 올리는 칸 없음). 상신하면 바로 «결재완료»가 되고 «내부 처리»로 표시된다</t>
        </is>
      </c>
      <c r="G7" s="29" t="n"/>
      <c r="H7" s="7" t="n"/>
      <c r="I7" s="7" t="n"/>
    </row>
    <row r="8" ht="51" customHeight="1">
      <c r="A8" s="28" t="n">
        <v>52</v>
      </c>
      <c r="B8" s="30" t="inlineStr">
        <is>
          <t>QA박안전2(재난안전과)</t>
        </is>
      </c>
      <c r="C8" s="30" t="inlineStr">
        <is>
          <t>안전보건교육 &gt; 현업근로자 &gt; 정기교육</t>
        </is>
      </c>
      <c r="D8" s="17" t="inlineStr">
        <is>
          <t>상신 뒤에는 잠긴다</t>
        </is>
      </c>
      <c r="E8" s="3" t="inlineStr">
        <is>
          <t>① 13번 교육 카드의 [수정]·[삭제] 자리를 본다
② 상세 → 신청현황의 내 부서 줄을 본다</t>
        </is>
      </c>
      <c r="F8" s="3" t="inlineStr">
        <is>
          <t>카드에 [수정]·[삭제] 대신 잠금(🔒) 표시만 있고, 상세의 내 부서 줄도 잠겨 있다(정정까지 잠겨야 성공). [＋ 정정 등록부 추가]도 없다</t>
        </is>
      </c>
      <c r="G8" s="29" t="n"/>
      <c r="H8" s="7" t="n"/>
      <c r="I8" s="7" t="n"/>
    </row>
    <row r="9" ht="51" customHeight="1">
      <c r="A9" s="28" t="n">
        <v>53</v>
      </c>
      <c r="B9" s="30" t="inlineStr">
        <is>
          <t>QA박안전2(재난안전과)</t>
        </is>
      </c>
      <c r="C9" s="30" t="inlineStr">
        <is>
          <t>안전보건교육 &gt; 현업근로자 &gt; 정기교육</t>
        </is>
      </c>
      <c r="D9" s="17" t="inlineStr">
        <is>
          <t>잠금 안내 문구</t>
        </is>
      </c>
      <c r="E9" s="3" t="inlineStr">
        <is>
          <t>52번에서 연 상세의 잠금 안내와 교육 카드의 잠금 버튼 설명(마우스를 올리면 나온다)을 읽는다</t>
        </is>
      </c>
      <c r="F9" s="3" t="inlineStr">
        <is>
          <t>잠긴 이유(공문이 결재된 교육)를 알려 준다</t>
        </is>
      </c>
      <c r="G9" s="29" t="n"/>
      <c r="H9" s="7" t="n"/>
      <c r="I9" s="7" t="n"/>
    </row>
    <row r="10" ht="51" customHeight="1">
      <c r="A10" s="28" t="n">
        <v>54</v>
      </c>
      <c r="B10" s="30" t="inlineStr">
        <is>
          <t>QA박안전2(재난안전과)</t>
        </is>
      </c>
      <c r="C10" s="3" t="inlineStr">
        <is>
          <t>안전보건교육 &gt; 현업근로자 &gt; 채용시교육</t>
        </is>
      </c>
      <c r="D10" s="17" t="inlineStr">
        <is>
          <t>채용시교육 공문</t>
        </is>
      </c>
      <c r="E10" s="3" t="inlineStr">
        <is>
          <t>[이수] 탭에서 부서 조건을 내 부서(건설과)로 걸고 32번의 남다슬_근로자A 줄 [공문 기안] → 창 제목을 보고 [닫기](상신하지 않는다)</t>
        </is>
      </c>
      <c r="F10" s="3" t="inlineStr">
        <is>
          <t>남다슬_근로자A이 들은 교육 건의 공문 기안 창이 열린다(창 제목 끝이 «· 남다슬_근로자A»)</t>
        </is>
      </c>
      <c r="G10" s="29" t="n"/>
      <c r="H10" s="7" t="n"/>
      <c r="I10" s="7" t="n"/>
    </row>
    <row r="11" ht="36" customHeight="1">
      <c r="A11" s="28" t="n">
        <v>55</v>
      </c>
      <c r="B11" s="30" t="inlineStr">
        <is>
          <t>QA박안전2(재난안전과)</t>
        </is>
      </c>
      <c r="C11" s="3" t="inlineStr">
        <is>
          <t>안전보건교육 &gt; 결재 이력</t>
        </is>
      </c>
      <c r="D11" s="17" t="inlineStr">
        <is>
          <t>결재 이력</t>
        </is>
      </c>
      <c r="E11" s="3" t="inlineStr">
        <is>
          <t>① 검색창에 «남다슬_집합교육»을 친다
② 그 줄의 [문서]를 누른다</t>
        </is>
      </c>
      <c r="F11" s="3" t="inlineStr">
        <is>
          <t>51번 공문이 결재완료 · «내부 처리»로 있고 [문서]로 열린다. 승인·반려 버튼은 없다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6 부서 담당자·다시 로그인</t>
        </is>
      </c>
    </row>
    <row r="2" ht="24" customHeight="1">
      <c r="A2" s="26" t="inlineStr">
        <is>
          <t>🗂 QA하정수2 창에서 내 부서 화면을 보고, 마지막으로 로그인이 끊긴 뒤 다시 들어오는 것을 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56</v>
      </c>
      <c r="B4" s="3" t="inlineStr">
        <is>
          <t>QA하정수2(담당 공무원)</t>
        </is>
      </c>
      <c r="C4" s="3" t="inlineStr">
        <is>
          <t>안전보건교육 (자체·기타·채용시 등록 창)</t>
        </is>
      </c>
      <c r="D4" s="17" t="inlineStr">
        <is>
          <t>부서 칸 고정</t>
        </is>
      </c>
      <c r="E4" s="3" t="inlineStr">
        <is>
          <t>① 정기교육 [자체교육 (부서)] 등록 창
② 기타 교육 등록 창
③ 채용시교육 [＋ 채용시 교육 추가] 창을 차례로 열어 보고 [취소]</t>
        </is>
      </c>
      <c r="F4" s="3" t="inlineStr">
        <is>
          <t>①② 부서가 내 부서(건설과)로 고정돼 있고 [조직도]가 없다 ③ 대상자 목록에 내 부서 사람만 있다</t>
        </is>
      </c>
      <c r="G4" s="29" t="n"/>
      <c r="H4" s="7" t="n"/>
      <c r="I4" s="7" t="n"/>
    </row>
    <row r="5" ht="66" customHeight="1">
      <c r="A5" s="28" t="n">
        <v>57</v>
      </c>
      <c r="B5" s="30" t="inlineStr">
        <is>
          <t>QA하정수2(담당 공무원)</t>
        </is>
      </c>
      <c r="C5" s="3" t="inlineStr">
        <is>
          <t>대시보드 &gt; 내 할일</t>
        </is>
      </c>
      <c r="D5" s="17" t="inlineStr">
        <is>
          <t>교육 할 일 카드</t>
        </is>
      </c>
      <c r="E5" s="3" t="inlineStr">
        <is>
          <t>① «남다슬_집합교육_2일 — 참석자 등록부 등록 필요» 카드의 [신청하러 가기]
② 뒤로 돌아와 «… — 안전보건교육 미이수 (독촉)» 카드를 찾는다</t>
        </is>
      </c>
      <c r="F5" s="3" t="inlineStr">
        <is>
          <t>① 목록이 아니라 14번 교육의 상세로 바로 간다 ② 46번에서 독촉한 남다슬_근로자A·남다슬_근로자B 카드가 있다</t>
        </is>
      </c>
      <c r="G5" s="29" t="n"/>
      <c r="H5" s="7" t="n"/>
      <c r="I5" s="7" t="n"/>
    </row>
    <row r="6" ht="51" customHeight="1">
      <c r="A6" s="28" t="n">
        <v>58</v>
      </c>
      <c r="B6" s="3" t="inlineStr">
        <is>
          <t>QA박안전2(재난안전과)</t>
        </is>
      </c>
      <c r="C6" s="3" t="inlineStr">
        <is>
          <t>안전보건교육 &gt; 현업근로자 &gt; 정기교육</t>
        </is>
      </c>
      <c r="D6" s="17" t="inlineStr">
        <is>
          <t>로그인이 끊긴 뒤</t>
        </is>
      </c>
      <c r="E6" s="3" t="inlineStr">
        <is>
          <t>등록 창에 값을 적은 채 로그인 시간(30분)이 끝나기를 기다렸다가 저장을 눌러 본다 → 다시 로그인</t>
        </is>
      </c>
      <c r="F6" s="3" t="inlineStr">
        <is>
          <t>로그인하라는 화면으로 가고 오류 창이 뜨지 않는다. 다시 로그인하면 교육 화면을 이어서 쓸 수 있다(적던 값이 사라지는 것은 메모)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안전보건교육</t>
        </is>
      </c>
    </row>
    <row r="3">
      <c r="A3" t="inlineStr">
        <is>
          <t>담당자</t>
        </is>
      </c>
      <c r="B3" t="inlineStr">
        <is>
          <t>남다슬</t>
        </is>
      </c>
    </row>
    <row r="4">
      <c r="A4" t="inlineStr">
        <is>
          <t>파일 코드</t>
        </is>
      </c>
      <c r="B4" t="inlineStr">
        <is>
          <t>ED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