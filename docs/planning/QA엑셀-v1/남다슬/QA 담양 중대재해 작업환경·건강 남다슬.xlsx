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작업환경측정" sheetId="3" state="visible" r:id="rId3"/>
    <sheet xmlns:r="http://schemas.openxmlformats.org/officeDocument/2006/relationships" name="건강검진" sheetId="4" state="visible" r:id="rId4"/>
    <sheet xmlns:r="http://schemas.openxmlformats.org/officeDocument/2006/relationships" name="_정보" sheetId="5" state="hidden" r:id="rId5"/>
  </sheets>
  <definedNames>
    <definedName name="_xlnm._FilterDatabase" localSheetId="2" hidden="1">'작업환경측정'!$A$3:$I$8</definedName>
    <definedName name="_xlnm.Print_Titles" localSheetId="2">'작업환경측정'!$3:$3</definedName>
    <definedName name="_xlnm._FilterDatabase" localSheetId="3" hidden="1">'건강검진'!$A$3:$I$7</definedName>
    <definedName name="_xlnm.Print_Titles" localSheetId="3">'건강검진'!$3:$3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작업환경·건강 · 남다슬</t>
        </is>
      </c>
    </row>
    <row r="3" ht="22" customHeight="1">
      <c r="A3" s="2" t="inlineStr">
        <is>
          <t>메뉴</t>
        </is>
      </c>
      <c r="B3" s="3" t="inlineStr">
        <is>
          <t>작업환경·건강 (훑어보는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남다슬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작업환경측정과 건강검진을 봅니다. 부서 담당자는 자기 부서만, 과장·군수는 보기만 합니다.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9줄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작업환경측정 → 건강검진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작업환경·건강 · 남다슬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작업환경측정</t>
        </is>
      </c>
      <c r="B5" s="21">
        <f>COUNTA('작업환경측정'!$A$4:$A$8)</f>
        <v>5</v>
      </c>
      <c r="C5" s="21">
        <f>COUNTIF('작업환경측정'!$G$4:$G$8,"성공")</f>
        <v>0</v>
      </c>
      <c r="D5" s="21">
        <f>COUNTIF('작업환경측정'!$G$4:$G$8,"실패")</f>
        <v>0</v>
      </c>
      <c r="E5" s="21">
        <f>COUNTIF('작업환경측정'!$G$4:$G$8,"오류")</f>
        <v>0</v>
      </c>
      <c r="F5" s="21">
        <f>COUNTIF('작업환경측정'!$G$4:$G$8,"보류")</f>
        <v>0</v>
      </c>
      <c r="G5" s="21">
        <f>COUNTIF('작업환경측정'!$G$4:$G$8,"확인 불가")</f>
        <v>0</v>
      </c>
      <c r="H5" s="21">
        <f>COUNTIF('작업환경측정'!$G$4:$G$8,"문의")</f>
        <v>0</v>
      </c>
      <c r="I5" s="21">
        <f>COUNTBLANK('작업환경측정'!$G$4:$G$8)</f>
        <v>5</v>
      </c>
      <c r="J5" s="22">
        <f>IF(B5=0,0,(B5-I5)/B5)</f>
        <v>0</v>
      </c>
    </row>
    <row r="6" ht="22" customHeight="1">
      <c r="A6" s="20" t="inlineStr">
        <is>
          <t>건강검진</t>
        </is>
      </c>
      <c r="B6" s="21">
        <f>COUNTA('건강검진'!$A$4:$A$7)</f>
        <v>4</v>
      </c>
      <c r="C6" s="21">
        <f>COUNTIF('건강검진'!$G$4:$G$7,"성공")</f>
        <v>0</v>
      </c>
      <c r="D6" s="21">
        <f>COUNTIF('건강검진'!$G$4:$G$7,"실패")</f>
        <v>0</v>
      </c>
      <c r="E6" s="21">
        <f>COUNTIF('건강검진'!$G$4:$G$7,"오류")</f>
        <v>0</v>
      </c>
      <c r="F6" s="21">
        <f>COUNTIF('건강검진'!$G$4:$G$7,"보류")</f>
        <v>0</v>
      </c>
      <c r="G6" s="21">
        <f>COUNTIF('건강검진'!$G$4:$G$7,"확인 불가")</f>
        <v>0</v>
      </c>
      <c r="H6" s="21">
        <f>COUNTIF('건강검진'!$G$4:$G$7,"문의")</f>
        <v>0</v>
      </c>
      <c r="I6" s="21">
        <f>COUNTBLANK('건강검진'!$G$4:$G$7)</f>
        <v>4</v>
      </c>
      <c r="J6" s="22">
        <f>IF(B6=0,0,(B6-I6)/B6)</f>
        <v>0</v>
      </c>
    </row>
    <row r="7" ht="24" customHeight="1">
      <c r="A7" s="23" t="inlineStr">
        <is>
          <t>합계</t>
        </is>
      </c>
      <c r="B7" s="24">
        <f>SUM(B5:B6)</f>
        <v>9</v>
      </c>
      <c r="C7" s="24">
        <f>SUM(C5:C6)</f>
        <v>0</v>
      </c>
      <c r="D7" s="24">
        <f>SUM(D5:D6)</f>
        <v>0</v>
      </c>
      <c r="E7" s="24">
        <f>SUM(E5:E6)</f>
        <v>0</v>
      </c>
      <c r="F7" s="24">
        <f>SUM(F5:F6)</f>
        <v>0</v>
      </c>
      <c r="G7" s="24">
        <f>SUM(G5:G6)</f>
        <v>0</v>
      </c>
      <c r="H7" s="24">
        <f>SUM(H5:H6)</f>
        <v>0</v>
      </c>
      <c r="I7" s="24">
        <f>SUM(I5:I6)</f>
        <v>9</v>
      </c>
      <c r="J7" s="25">
        <f>IF(B7=0,0,(B7-I7)/B7)</f>
        <v>0</v>
      </c>
    </row>
  </sheetData>
  <mergeCells count="2">
    <mergeCell ref="A1:J1"/>
    <mergeCell ref="A2:J2"/>
  </mergeCells>
  <conditionalFormatting sqref="J5:J7">
    <cfRule type="dataBar" priority="1">
      <dataBar showValue="1">
        <cfvo type="num" val="0"/>
        <cfvo type="num" val="1"/>
        <color rgb="0063BE7B"/>
      </dataBar>
    </cfRule>
  </conditionalFormatting>
  <conditionalFormatting sqref="D5:D7">
    <cfRule type="cellIs" priority="2" operator="greaterThan" dxfId="0">
      <formula>0</formula>
    </cfRule>
  </conditionalFormatting>
  <conditionalFormatting sqref="E5:E7">
    <cfRule type="cellIs" priority="3" operator="greaterThan" dxfId="0">
      <formula>0</formula>
    </cfRule>
  </conditionalFormatting>
  <conditionalFormatting sqref="H5:H7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작업환경·건강 — 작업환경측정</t>
        </is>
      </c>
    </row>
    <row r="2" ht="24" customHeight="1">
      <c r="A2" s="26" t="inlineStr">
        <is>
          <t>🗂 새 탭에서 시작하세요.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</v>
      </c>
      <c r="B4" s="3" t="inlineStr">
        <is>
          <t>박안전</t>
        </is>
      </c>
      <c r="C4" s="3" t="inlineStr">
        <is>
          <t>작업환경·건강 &gt; 작업환경측정</t>
        </is>
      </c>
      <c r="D4" s="17" t="inlineStr">
        <is>
          <t>화면과 숫자 카드</t>
        </is>
      </c>
      <c r="E4" s="3" t="inlineStr">
        <is>
          <t>숫자 카드(전체 대상 · 측정 완료 · 미실시 · 개선 필요 · 기한 초과)를 누른다 → 연도·반기·부서 조건</t>
        </is>
      </c>
      <c r="F4" s="3" t="inlineStr">
        <is>
          <t>카드를 누르면 걸러지고 카드 숫자와 줄 수가 같다</t>
        </is>
      </c>
      <c r="G4" s="29" t="n"/>
      <c r="H4" s="7" t="n"/>
      <c r="I4" s="7" t="n"/>
    </row>
    <row r="5" ht="36" customHeight="1">
      <c r="A5" s="28" t="n">
        <v>2</v>
      </c>
      <c r="B5" s="30" t="inlineStr">
        <is>
          <t>박안전</t>
        </is>
      </c>
      <c r="C5" s="30" t="inlineStr">
        <is>
          <t>작업환경·건강 &gt; 작업환경측정</t>
        </is>
      </c>
      <c r="D5" s="17" t="inlineStr">
        <is>
          <t>측정 계획 등록</t>
        </is>
      </c>
      <c r="E5" s="3" t="inlineStr">
        <is>
          <t>[＋ 측정 계획 등록] → 빈 채로 [등록] → 조직도로 부서를 고르고 채워서 등록</t>
        </is>
      </c>
      <c r="F5" s="3" t="inlineStr">
        <is>
          <t>빈 채로는 «대상 부서를 선택하세요.» 등록하면 목록에 생긴다</t>
        </is>
      </c>
      <c r="G5" s="29" t="n"/>
      <c r="H5" s="7" t="n"/>
      <c r="I5" s="7" t="n"/>
    </row>
    <row r="6" ht="51" customHeight="1">
      <c r="A6" s="28" t="n">
        <v>3</v>
      </c>
      <c r="B6" s="30" t="inlineStr">
        <is>
          <t>박안전</t>
        </is>
      </c>
      <c r="C6" s="30" t="inlineStr">
        <is>
          <t>작업환경·건강 &gt; 작업환경측정</t>
        </is>
      </c>
      <c r="D6" s="17" t="inlineStr">
        <is>
          <t>상세와 결과 등록</t>
        </is>
      </c>
      <c r="E6" s="3" t="inlineStr">
        <is>
          <t>줄을 눌러 상세 → «결과보고서 · 증빙 등록» → [등록]</t>
        </is>
      </c>
      <c r="F6" s="3" t="inlineStr">
        <is>
          <t>상세가 열리고, 등록하면 «증빙이 등록되었습니다.» 후 증빙·이력에 남는다(아무것도 안 남으면 실패)</t>
        </is>
      </c>
      <c r="G6" s="29" t="n"/>
      <c r="H6" s="7" t="n"/>
      <c r="I6" s="7" t="n"/>
    </row>
    <row r="7" ht="36" customHeight="1">
      <c r="A7" s="28" t="n">
        <v>4</v>
      </c>
      <c r="B7" s="3" t="inlineStr">
        <is>
          <t>하정수</t>
        </is>
      </c>
      <c r="C7" s="30" t="inlineStr">
        <is>
          <t>작업환경·건강 &gt; 작업환경측정</t>
        </is>
      </c>
      <c r="D7" s="17" t="inlineStr">
        <is>
          <t>자기 부서만</t>
        </is>
      </c>
      <c r="E7" s="3" t="inlineStr">
        <is>
          <t>목록 · 부서 조건 · 등록 창을 본다</t>
        </is>
      </c>
      <c r="F7" s="3" t="inlineStr">
        <is>
          <t>물순환사업소 것만 보이고 등록 창의 부서가 고정돼 있다</t>
        </is>
      </c>
      <c r="G7" s="29" t="n"/>
      <c r="H7" s="7" t="n"/>
      <c r="I7" s="7" t="n"/>
    </row>
    <row r="8" ht="36" customHeight="1">
      <c r="A8" s="28" t="n">
        <v>5</v>
      </c>
      <c r="B8" s="3" t="inlineStr">
        <is>
          <t>홍길동 → 김담양</t>
        </is>
      </c>
      <c r="C8" s="30" t="inlineStr">
        <is>
          <t>작업환경·건강 &gt; 작업환경측정</t>
        </is>
      </c>
      <c r="D8" s="17" t="inlineStr">
        <is>
          <t>보기만</t>
        </is>
      </c>
      <c r="E8" s="3" t="inlineStr">
        <is>
          <t>목록과 상세를 본다</t>
        </is>
      </c>
      <c r="F8" s="3" t="inlineStr">
        <is>
          <t>등록 버튼이 없다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작업환경·건강 — 건강검진</t>
        </is>
      </c>
    </row>
    <row r="2" ht="24" customHeight="1">
      <c r="A2" s="26" t="inlineStr">
        <is>
          <t>🗂 어느 탭에서 해도 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6</v>
      </c>
      <c r="B4" s="3" t="inlineStr">
        <is>
          <t>박안전</t>
        </is>
      </c>
      <c r="C4" s="3" t="inlineStr">
        <is>
          <t>작업환경·건강 &gt; 건강검진 (일반·특수)</t>
        </is>
      </c>
      <c r="D4" s="17" t="inlineStr">
        <is>
          <t>화면과 조건</t>
        </is>
      </c>
      <c r="E4" s="3" t="inlineStr">
        <is>
          <t>연도 · 검진 유형 · 부서 조건 → 숫자 카드(사후관리 대상 · 기한 초과)</t>
        </is>
      </c>
      <c r="F4" s="3" t="inlineStr">
        <is>
          <t>조건대로 걸러지고 숫자가 맞다</t>
        </is>
      </c>
      <c r="G4" s="29" t="n"/>
      <c r="H4" s="7" t="n"/>
      <c r="I4" s="7" t="n"/>
    </row>
    <row r="5" ht="36" customHeight="1">
      <c r="A5" s="28" t="n">
        <v>7</v>
      </c>
      <c r="B5" s="30" t="inlineStr">
        <is>
          <t>박안전</t>
        </is>
      </c>
      <c r="C5" s="30" t="inlineStr">
        <is>
          <t>작업환경·건강 &gt; 건강검진 (일반·특수)</t>
        </is>
      </c>
      <c r="D5" s="17" t="inlineStr">
        <is>
          <t>검진 계획 등록</t>
        </is>
      </c>
      <c r="E5" s="3" t="inlineStr">
        <is>
          <t>[＋ 검진 계획 등록] → 빈 채로 [등록] → 채워서 등록</t>
        </is>
      </c>
      <c r="F5" s="3" t="inlineStr">
        <is>
          <t>빈 채로는 «대상 부서를 선택하세요.» 등록하면 목록에 생긴다</t>
        </is>
      </c>
      <c r="G5" s="29" t="n"/>
      <c r="H5" s="7" t="n"/>
      <c r="I5" s="7" t="n"/>
    </row>
    <row r="6" ht="36" customHeight="1">
      <c r="A6" s="28" t="n">
        <v>8</v>
      </c>
      <c r="B6" s="30" t="inlineStr">
        <is>
          <t>박안전</t>
        </is>
      </c>
      <c r="C6" s="30" t="inlineStr">
        <is>
          <t>작업환경·건강 &gt; 건강검진 (일반·특수)</t>
        </is>
      </c>
      <c r="D6" s="17" t="inlineStr">
        <is>
          <t>실시 증빙과 상세</t>
        </is>
      </c>
      <c r="E6" s="3" t="inlineStr">
        <is>
          <t>줄의 [＋ 첨부] → [등록] → 줄을 눌러 상세</t>
        </is>
      </c>
      <c r="F6" s="3" t="inlineStr">
        <is>
          <t>«증빙이 등록되었습니다.» 후 상세의 증빙·이력에 남는다</t>
        </is>
      </c>
      <c r="G6" s="29" t="n"/>
      <c r="H6" s="7" t="n"/>
      <c r="I6" s="7" t="n"/>
    </row>
    <row r="7" ht="36" customHeight="1">
      <c r="A7" s="28" t="n">
        <v>9</v>
      </c>
      <c r="B7" s="3" t="inlineStr">
        <is>
          <t>하정수 → 김담양</t>
        </is>
      </c>
      <c r="C7" s="30" t="inlineStr">
        <is>
          <t>작업환경·건강 &gt; 건강검진 (일반·특수)</t>
        </is>
      </c>
      <c r="D7" s="17" t="inlineStr">
        <is>
          <t>계정별 차이</t>
        </is>
      </c>
      <c r="E7" s="3" t="inlineStr">
        <is>
          <t>목록과 등록 버튼을 본다</t>
        </is>
      </c>
      <c r="F7" s="3" t="inlineStr">
        <is>
          <t>하정수는 자기 부서만, 김담양은 전부 보되 등록 버튼이 없다</t>
        </is>
      </c>
      <c r="G7" s="29" t="n"/>
      <c r="H7" s="7" t="n"/>
      <c r="I7" s="7" t="n"/>
    </row>
  </sheetData>
  <autoFilter ref="A3:I7"/>
  <mergeCells count="2">
    <mergeCell ref="A1:I1"/>
    <mergeCell ref="A2:I2"/>
  </mergeCells>
  <conditionalFormatting sqref="G4:G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7">
    <cfRule type="expression" priority="7" dxfId="7">
      <formula>AND(OR($G4="실패",$G4="오류",$G4="문의"),$H4="")</formula>
    </cfRule>
  </conditionalFormatting>
  <dataValidations count="1">
    <dataValidation sqref="G4:G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작업환경·건강</t>
        </is>
      </c>
    </row>
    <row r="3">
      <c r="A3" t="inlineStr">
        <is>
          <t>담당자</t>
        </is>
      </c>
      <c r="B3" t="inlineStr">
        <is>
          <t>남다슬</t>
        </is>
      </c>
    </row>
    <row r="4">
      <c r="A4" t="inlineStr">
        <is>
          <t>파일 코드</t>
        </is>
      </c>
      <c r="B4" t="inlineStr">
        <is>
          <t>WE</t>
        </is>
      </c>
    </row>
    <row r="5">
      <c r="A5" t="inlineStr">
        <is>
          <t>종류</t>
        </is>
      </c>
      <c r="B5" t="inlineStr">
        <is>
          <t>스모크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