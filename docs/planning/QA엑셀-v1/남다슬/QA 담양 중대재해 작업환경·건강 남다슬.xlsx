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작업환경측정" sheetId="3" state="visible" r:id="rId3"/>
    <sheet xmlns:r="http://schemas.openxmlformats.org/officeDocument/2006/relationships" name="건강검진" sheetId="4" state="visible" r:id="rId4"/>
    <sheet xmlns:r="http://schemas.openxmlformats.org/officeDocument/2006/relationships" name="_정보" sheetId="5" state="hidden" r:id="rId5"/>
  </sheets>
  <definedNames>
    <definedName name="_xlnm._FilterDatabase" localSheetId="2" hidden="1">'작업환경측정'!$A$3:$I$10</definedName>
    <definedName name="_xlnm.Print_Titles" localSheetId="2">'작업환경측정'!$3:$3</definedName>
    <definedName name="_xlnm._FilterDatabase" localSheetId="3" hidden="1">'건강검진'!$A$3:$I$9</definedName>
    <definedName name="_xlnm.Print_Titles" localSheetId="3">'건강검진'!$3:$3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color rgb="000563C1"/>
      <sz val="10.5"/>
      <u val="single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  <font>
      <name val="맑은 고딕"/>
      <i val="1"/>
      <color rgb="007F7F7F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fety.damyang.go.kr/login" TargetMode="External" Id="rId1"/></Relationships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작업환경·건강 · 남다슬</t>
        </is>
      </c>
    </row>
    <row r="3" ht="22" customHeight="1">
      <c r="A3" s="2" t="inlineStr">
        <is>
          <t>메뉴</t>
        </is>
      </c>
      <c r="B3" s="3" t="inlineStr">
        <is>
          <t>작업환경·건강 (훑어보는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남다슬</t>
        </is>
      </c>
      <c r="C4" s="4" t="n"/>
      <c r="D4" s="4" t="n"/>
      <c r="E4" s="4" t="n"/>
      <c r="F4" s="4" t="n"/>
      <c r="G4" s="4" t="n"/>
      <c r="H4" s="5" t="n"/>
    </row>
    <row r="5" ht="22" customHeight="1">
      <c r="A5" s="2" t="inlineStr">
        <is>
          <t>내 계정</t>
        </is>
      </c>
      <c r="B5" s="3" t="inlineStr">
        <is>
          <t>QA박안전2 (재난안전과 담당자) · QA하정수2 (내 부서 건설과 담당 공무원)</t>
        </is>
      </c>
      <c r="C5" s="4" t="n"/>
      <c r="D5" s="4" t="n"/>
      <c r="E5" s="4" t="n"/>
      <c r="F5" s="4" t="n"/>
      <c r="G5" s="4" t="n"/>
      <c r="H5" s="5" t="n"/>
    </row>
    <row r="6" ht="22" customHeight="1">
      <c r="A6" s="2" t="inlineStr">
        <is>
          <t>이 파일</t>
        </is>
      </c>
      <c r="B6" s="3" t="inlineStr">
        <is>
          <t>작업환경측정과 건강검진을 봅니다. QA박안전2 계정은 모든 부서를 보고, QA하정수2 계정은 내 부서 것만 보고 등록합니다.</t>
        </is>
      </c>
      <c r="C6" s="4" t="n"/>
      <c r="D6" s="4" t="n"/>
      <c r="E6" s="4" t="n"/>
      <c r="F6" s="4" t="n"/>
      <c r="G6" s="4" t="n"/>
      <c r="H6" s="5" t="n"/>
    </row>
    <row r="7" ht="22" customHeight="1">
      <c r="A7" s="2" t="inlineStr">
        <is>
          <t>줄 수</t>
        </is>
      </c>
      <c r="B7" s="3" t="inlineStr">
        <is>
          <t>13줄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시트</t>
        </is>
      </c>
      <c r="B8" s="3" t="inlineStr">
        <is>
          <t>작업환경측정 → 건강검진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테스트 주소</t>
        </is>
      </c>
      <c r="B9" s="6" t="inlineStr">
        <is>
          <t>https://safety.damyang.go.kr/login</t>
        </is>
      </c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브라우저</t>
        </is>
      </c>
      <c r="B10" s="7" t="n"/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기기</t>
        </is>
      </c>
      <c r="B11" s="7" t="n"/>
      <c r="C11" s="4" t="n"/>
      <c r="D11" s="4" t="n"/>
      <c r="E11" s="4" t="n"/>
      <c r="F11" s="4" t="n"/>
      <c r="G11" s="4" t="n"/>
      <c r="H11" s="5" t="n"/>
    </row>
    <row r="12" ht="22" customHeight="1">
      <c r="A12" s="2" t="inlineStr">
        <is>
          <t>시작한 날</t>
        </is>
      </c>
      <c r="B12" s="8" t="n"/>
      <c r="C12" s="4" t="n"/>
      <c r="D12" s="4" t="n"/>
      <c r="E12" s="4" t="n"/>
      <c r="F12" s="4" t="n"/>
      <c r="G12" s="4" t="n"/>
      <c r="H12" s="5" t="n"/>
    </row>
    <row r="14" ht="24" customHeight="1">
      <c r="A14" s="9" t="inlineStr">
        <is>
          <t>이렇게 하면 됩니다</t>
        </is>
      </c>
    </row>
    <row r="15" ht="36" customHeight="1">
      <c r="A15" s="10" t="inlineStr">
        <is>
          <t>① 위 «테스트 주소»에서 받은 아이디·비밀번호로 로그인합니다. 로그인하면 통합 현황 화면으로 갑니다. 5번 틀리면 계정이 잠깁니다 — 담당 개발자에게 풀어 달라고 합니다.</t>
        </is>
      </c>
    </row>
    <row r="16" ht="36" customHeight="1">
      <c r="A16" s="10" t="inlineStr">
        <is>
          <t>② 내 계정 두 개를 창 두 개에 따로 로그인해 둡니다 — 일반 창에는 QA박안전2(재난안전과), 시크릿 창(Ctrl + Shift + N · 맥 Cmd + Shift + N)에는 QA하정수2(담당 공무원). 두 창을 나란히 두면 계정을 바꿀 필요가 없습니다.</t>
        </is>
      </c>
    </row>
    <row r="17" ht="21" customHeight="1">
      <c r="A17" s="10" t="inlineStr">
        <is>
          <t>③ «누구로» 칸에 적힌 계정의 창에서 «어디서» 메뉴로 가서 «해 볼 것»대로 눌러 봅니다.</t>
        </is>
      </c>
    </row>
    <row r="18" ht="21" customHeight="1">
      <c r="A18" s="10" t="inlineStr">
        <is>
          <t>④ «이러면 성공»과 같으면 «결과» 칸에서 성공을, 다르면 실패·오류 등을 고릅니다.</t>
        </is>
      </c>
    </row>
    <row r="19" ht="21" customHeight="1">
      <c r="A19" s="10" t="inlineStr">
        <is>
          <t>⑤ 실패·오류·문의면 «메모»에 한 줄 적고, 필요하면 «사진» 칸에 화면 캡처를 붙여넣습니다.</t>
        </is>
      </c>
    </row>
    <row r="21" ht="24" customHeight="1">
      <c r="A21" s="9" t="inlineStr">
        <is>
          <t>결과 고르는 법</t>
        </is>
      </c>
    </row>
    <row r="22" ht="22" customHeight="1">
      <c r="A22" s="2" t="inlineStr">
        <is>
          <t>결과</t>
        </is>
      </c>
      <c r="B22" s="2" t="inlineStr">
        <is>
          <t>이럴 때 고르세요</t>
        </is>
      </c>
      <c r="C22" s="4" t="n"/>
      <c r="D22" s="4" t="n"/>
      <c r="E22" s="4" t="n"/>
      <c r="F22" s="4" t="n"/>
      <c r="G22" s="4" t="n"/>
      <c r="H22" s="5" t="n"/>
    </row>
    <row r="23" ht="22" customHeight="1">
      <c r="A23" s="11" t="inlineStr">
        <is>
          <t>성공</t>
        </is>
      </c>
      <c r="B23" s="3" t="inlineStr">
        <is>
          <t>«이러면 성공»대로 된다</t>
        </is>
      </c>
      <c r="C23" s="4" t="n"/>
      <c r="D23" s="4" t="n"/>
      <c r="E23" s="4" t="n"/>
      <c r="F23" s="4" t="n"/>
      <c r="G23" s="4" t="n"/>
      <c r="H23" s="5" t="n"/>
    </row>
    <row r="24" ht="22" customHeight="1">
      <c r="A24" s="12" t="inlineStr">
        <is>
          <t>실패</t>
        </is>
      </c>
      <c r="B24" s="3" t="inlineStr">
        <is>
          <t>되긴 하는데 설명과 다르다 — 막혀야 하는데 저장된다, 문구·숫자가 틀리다</t>
        </is>
      </c>
      <c r="C24" s="4" t="n"/>
      <c r="D24" s="4" t="n"/>
      <c r="E24" s="4" t="n"/>
      <c r="F24" s="4" t="n"/>
      <c r="G24" s="4" t="n"/>
      <c r="H24" s="5" t="n"/>
    </row>
    <row r="25" ht="22" customHeight="1">
      <c r="A25" s="13" t="inlineStr">
        <is>
          <t>오류</t>
        </is>
      </c>
      <c r="B25" s="3" t="inlineStr">
        <is>
          <t>화면이 멈추거나 깨진다, 눌러도 아무 일이 없다, 오류 창이 뜬다</t>
        </is>
      </c>
      <c r="C25" s="4" t="n"/>
      <c r="D25" s="4" t="n"/>
      <c r="E25" s="4" t="n"/>
      <c r="F25" s="4" t="n"/>
      <c r="G25" s="4" t="n"/>
      <c r="H25" s="5" t="n"/>
    </row>
    <row r="26" ht="22" customHeight="1">
      <c r="A26" s="14" t="inlineStr">
        <is>
          <t>보류</t>
        </is>
      </c>
      <c r="B26" s="3" t="inlineStr">
        <is>
          <t>앞 단계가 안 돼서 지금은 못 한다 — 메모에 이유</t>
        </is>
      </c>
      <c r="C26" s="4" t="n"/>
      <c r="D26" s="4" t="n"/>
      <c r="E26" s="4" t="n"/>
      <c r="F26" s="4" t="n"/>
      <c r="G26" s="4" t="n"/>
      <c r="H26" s="5" t="n"/>
    </row>
    <row r="27" ht="22" customHeight="1">
      <c r="A27" s="15" t="inlineStr">
        <is>
          <t>확인 불가</t>
        </is>
      </c>
      <c r="B27" s="3" t="inlineStr">
        <is>
          <t>이 환경에서는 볼 수 없다 — 예: 확인할 데이터가 없다</t>
        </is>
      </c>
      <c r="C27" s="4" t="n"/>
      <c r="D27" s="4" t="n"/>
      <c r="E27" s="4" t="n"/>
      <c r="F27" s="4" t="n"/>
      <c r="G27" s="4" t="n"/>
      <c r="H27" s="5" t="n"/>
    </row>
    <row r="28" ht="22" customHeight="1">
      <c r="A28" s="16" t="inlineStr">
        <is>
          <t>문의</t>
        </is>
      </c>
      <c r="B28" s="3" t="inlineStr">
        <is>
          <t>맞는지 헷갈린다 — 메모에 궁금한 점</t>
        </is>
      </c>
      <c r="C28" s="4" t="n"/>
      <c r="D28" s="4" t="n"/>
      <c r="E28" s="4" t="n"/>
      <c r="F28" s="4" t="n"/>
      <c r="G28" s="4" t="n"/>
      <c r="H28" s="5" t="n"/>
    </row>
    <row r="30" ht="24" customHeight="1">
      <c r="A30" s="9" t="inlineStr">
        <is>
          <t>사진 붙이는 법</t>
        </is>
      </c>
    </row>
    <row r="31" ht="21" customHeight="1">
      <c r="A31" s="10" t="inlineStr">
        <is>
          <t>• 윈도우: Win + Shift + S → 영역 선택 → 엑셀에서 그 줄의 «사진» 칸을 누르고 Ctrl + V</t>
        </is>
      </c>
    </row>
    <row r="32" ht="21" customHeight="1">
      <c r="A32" s="10" t="inlineStr">
        <is>
          <t>• 맥: Cmd + Ctrl + Shift + 4 → 영역 선택 → 엑셀에서 그 줄의 «사진» 칸을 누르고 Cmd + V</t>
        </is>
      </c>
    </row>
    <row r="33" ht="21" customHeight="1">
      <c r="A33" s="10" t="inlineStr">
        <is>
          <t>• 사진이 크면 모서리를 끌어 줄이세요. 사진은 그 줄 «사진» 칸 위에 두면 됩니다 — 취합할 때 줄 번호로 찾습니다.</t>
        </is>
      </c>
    </row>
    <row r="34" ht="21" customHeight="1">
      <c r="A34" s="10" t="inlineStr">
        <is>
          <t>• 사진은 떠 있는 그대로 두세요(«셀에 배치»로 넣으면 취합할 때 꺼내지 못합니다).</t>
        </is>
      </c>
    </row>
    <row r="36" ht="24" customHeight="1">
      <c r="A36" s="9" t="inlineStr">
        <is>
          <t>누구로 — 내 계정 두 개</t>
        </is>
      </c>
    </row>
    <row r="37" ht="21" customHeight="1">
      <c r="A37" s="10" t="inlineStr">
        <is>
          <t>• 계정은 두 개뿐입니다. «누구로» 칸에 계정 이름과 권한이 함께 적혀 있습니다. 비밀번호는 따로 받습니다.</t>
        </is>
      </c>
    </row>
    <row r="38" ht="22" customHeight="1">
      <c r="A38" s="2" t="inlineStr">
        <is>
          <t>이름</t>
        </is>
      </c>
      <c r="B38" s="2" t="inlineStr">
        <is>
          <t>권한</t>
        </is>
      </c>
      <c r="C38" s="5" t="n"/>
      <c r="D38" s="2" t="inlineStr">
        <is>
          <t>볼 수 있는 것</t>
        </is>
      </c>
      <c r="E38" s="5" t="n"/>
      <c r="F38" s="2" t="inlineStr">
        <is>
          <t>주로 하는 것</t>
        </is>
      </c>
      <c r="G38" s="4" t="n"/>
      <c r="H38" s="5" t="n"/>
    </row>
    <row r="39" ht="22" customHeight="1">
      <c r="A39" s="17" t="inlineStr">
        <is>
          <t>QA박안전2</t>
        </is>
      </c>
      <c r="B39" s="3" t="inlineStr">
        <is>
          <t>재난안전과 담당자</t>
        </is>
      </c>
      <c r="C39" s="5" t="n"/>
      <c r="D39" s="3" t="inlineStr">
        <is>
          <t>모든 부서 · «내 할일»은 전체</t>
        </is>
      </c>
      <c r="E39" s="5" t="n"/>
      <c r="F39" s="3" t="inlineStr">
        <is>
          <t>전 부서 등록·수정 · 확인 · 상신 · 독촉 — 대부분 이 계정</t>
        </is>
      </c>
      <c r="G39" s="4" t="n"/>
      <c r="H39" s="5" t="n"/>
    </row>
    <row r="40" ht="51" customHeight="1">
      <c r="A40" s="17" t="inlineStr">
        <is>
          <t>QA하정수2</t>
        </is>
      </c>
      <c r="B40" s="3" t="inlineStr">
        <is>
          <t>담당 공무원 (내 부서: 건설과)</t>
        </is>
      </c>
      <c r="C40" s="5" t="n"/>
      <c r="D40" s="3" t="inlineStr">
        <is>
          <t>업무 화면은 전 부서, «내 할일»은 나에게 지정된 것만, 위험성평가 부서별 조치표·교육 이수현황은 내 부서만</t>
        </is>
      </c>
      <c r="E40" s="5" t="n"/>
      <c r="F40" s="3" t="inlineStr">
        <is>
          <t>내 부서 일 · 남의 부서 것을 못 건드리는지 확인</t>
        </is>
      </c>
      <c r="G40" s="4" t="n"/>
      <c r="H40" s="5" t="n"/>
    </row>
    <row r="41" ht="22" customHeight="1">
      <c r="A41" s="17" t="inlineStr">
        <is>
          <t>QA시스템관리</t>
        </is>
      </c>
      <c r="B41" s="3" t="inlineStr">
        <is>
          <t>시스템 관리자 (김유석만)</t>
        </is>
      </c>
      <c r="C41" s="5" t="n"/>
      <c r="D41" s="3" t="inlineStr">
        <is>
          <t>시스템 관리 메뉴</t>
        </is>
      </c>
      <c r="E41" s="5" t="n"/>
      <c r="F41" s="3" t="inlineStr">
        <is>
          <t>시스템 관리 파일 · 공문 반려(결재 대행)</t>
        </is>
      </c>
      <c r="G41" s="4" t="n"/>
      <c r="H41" s="5" t="n"/>
    </row>
    <row r="43" ht="24" customHeight="1">
      <c r="A43" s="9" t="inlineStr">
        <is>
          <t>같은 서버를 6명이 함께 씁니다</t>
        </is>
      </c>
    </row>
    <row r="44" ht="21" customHeight="1">
      <c r="A44" s="10" t="inlineStr">
        <is>
          <t>• 내가 만드는 것(교육 · 근로자 · 문서 · 위원 등)은 이름 앞에 내 이름을 붙입니다 — 예: «남다슬_집합교육». 그래야 내 것을 찾기 쉽습니다.</t>
        </is>
      </c>
    </row>
    <row r="45" ht="21" customHeight="1">
      <c r="A45" s="10" t="inlineStr">
        <is>
          <t>• 다른 사람이 만든 것은 고치거나 지우지 않습니다. QA박안전2 계정에는 남의 것도 보이는데, 정상입니다.</t>
        </is>
      </c>
    </row>
    <row r="46" ht="21" customHeight="1">
      <c r="A46" s="10" t="inlineStr">
        <is>
          <t>• 건수·이수율 같은 숫자는 다른 사람이 작업하는 동안 바뀔 수 있습니다. 숫자가 안 맞으면 새로고침해서 한 번 더 보고, 그래도 다르면 «실패».</t>
        </is>
      </c>
    </row>
    <row r="48" ht="24" customHeight="1">
      <c r="A48" s="9" t="inlineStr">
        <is>
          <t>알아 두면 좋은 것 (결함이 아닙니다)</t>
        </is>
      </c>
    </row>
    <row r="49" ht="21" customHeight="1">
      <c r="A49" s="10" t="inlineStr">
        <is>
          <t>• 기한·D-day는 서버의 오늘 날짜 기준입니다.</t>
        </is>
      </c>
    </row>
    <row r="50" ht="21" customHeight="1">
      <c r="A50" s="10" t="inlineStr">
        <is>
          <t>• «…연계 후 제공됩니다» 안내는 일부러 막아 둔 기능입니다.</t>
        </is>
      </c>
    </row>
    <row r="51" ht="21" customHeight="1">
      <c r="A51" s="10" t="inlineStr">
        <is>
          <t>• «이러면 성공»의 «» 안 문구와 화면 글자가 조금 다르고(띄어쓰기·마침표·어순) 뜻이 같으면 «문의»로 고르고 화면 문구를 메모에 적습니다.</t>
        </is>
      </c>
    </row>
    <row r="52" ht="21" customHeight="1">
      <c r="A52" s="10" t="inlineStr">
        <is>
          <t>• 온나라 연계 전까지 결재는 시스템 안에서 끝납니다 — 상신하면 바로 «결재완료»가 되고 «내부 처리»로 표시됩니다. 결재자가 로그인해 승인할 일은 없습니다.</t>
        </is>
      </c>
    </row>
    <row r="53" ht="21" customHeight="1">
      <c r="A53" s="10" t="inlineStr">
        <is>
          <t>• 로그인은 30분이 지나면 끊깁니다(작업 중이어도). 다시 로그인하고 이어서 합니다.</t>
        </is>
      </c>
    </row>
    <row r="54" ht="21" customHeight="1">
      <c r="A54" s="10" t="inlineStr">
        <is>
          <t>• 독촉·재촉 알림은 실제 직원에게 가고 되돌릴 수 없습니다. 내 부서 건만 1건씩 누릅니다.</t>
        </is>
      </c>
    </row>
    <row r="55" ht="21" customHeight="1">
      <c r="A55" s="10" t="inlineStr">
        <is>
          <t>• 과장·팀장이 담당자를 지정하는 흐름과 «내 할일»의 ‹자기 부서 전체› 보기는 과장 계정이 없어 이번 QA 범위 밖입니다.</t>
        </is>
      </c>
    </row>
    <row r="56" ht="21" customHeight="1">
      <c r="A56" s="10" t="inlineStr">
        <is>
          <t>• 순서를 놓쳤거나 확인할 자료가 서버에 없으면 «확인 불가»를 고르고 메모에 이유를 적습니다.</t>
        </is>
      </c>
    </row>
  </sheetData>
  <mergeCells count="51">
    <mergeCell ref="B9:H9"/>
    <mergeCell ref="A15:H15"/>
    <mergeCell ref="F41:H41"/>
    <mergeCell ref="A51:H51"/>
    <mergeCell ref="B6:H6"/>
    <mergeCell ref="B24:H24"/>
    <mergeCell ref="A49:H49"/>
    <mergeCell ref="D40:E40"/>
    <mergeCell ref="A1:H1"/>
    <mergeCell ref="A45:H45"/>
    <mergeCell ref="B5:H5"/>
    <mergeCell ref="B39:C39"/>
    <mergeCell ref="F38:H38"/>
    <mergeCell ref="B26:H26"/>
    <mergeCell ref="B4:H4"/>
    <mergeCell ref="A16:H16"/>
    <mergeCell ref="A54:H54"/>
    <mergeCell ref="B7:H7"/>
    <mergeCell ref="B25:H25"/>
    <mergeCell ref="A37:H37"/>
    <mergeCell ref="B3:H3"/>
    <mergeCell ref="D41:E41"/>
    <mergeCell ref="F39:H39"/>
    <mergeCell ref="A46:H46"/>
    <mergeCell ref="A18:H18"/>
    <mergeCell ref="B22:H22"/>
    <mergeCell ref="A50:H50"/>
    <mergeCell ref="B38:C38"/>
    <mergeCell ref="A56:H56"/>
    <mergeCell ref="A55:H55"/>
    <mergeCell ref="B27:H27"/>
    <mergeCell ref="B12:H12"/>
    <mergeCell ref="A33:H33"/>
    <mergeCell ref="B11:H11"/>
    <mergeCell ref="B40:C40"/>
    <mergeCell ref="A32:H32"/>
    <mergeCell ref="B23:H23"/>
    <mergeCell ref="A17:H17"/>
    <mergeCell ref="D39:E39"/>
    <mergeCell ref="B8:H8"/>
    <mergeCell ref="A53:H53"/>
    <mergeCell ref="A52:H52"/>
    <mergeCell ref="D38:E38"/>
    <mergeCell ref="F40:H40"/>
    <mergeCell ref="A19:H19"/>
    <mergeCell ref="A44:H44"/>
    <mergeCell ref="B10:H10"/>
    <mergeCell ref="B41:C41"/>
    <mergeCell ref="A31:H31"/>
    <mergeCell ref="B28:H28"/>
    <mergeCell ref="A34:H34"/>
  </mergeCells>
  <dataValidations count="2">
    <dataValidation sqref="B10" showDropDown="0" showInputMessage="0" showErrorMessage="0" allowBlank="1" type="list">
      <formula1>"크롬,엣지,웨일,사파리,파이어폭스,기타"</formula1>
    </dataValidation>
    <dataValidation sqref="B11" showDropDown="0" showInputMessage="0" showErrorMessage="0" allowBlank="1" type="list">
      <formula1>"윈도우 PC,맥,태블릿,휴대폰"</formula1>
    </dataValidation>
  </dataValidations>
  <hyperlinks>
    <hyperlink xmlns:r="http://schemas.openxmlformats.org/officeDocument/2006/relationships" ref="B9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작업환경·건강 · 남다슬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작업환경측정</t>
        </is>
      </c>
      <c r="B5" s="21">
        <f>COUNTA('작업환경측정'!$A$4:$A$10)</f>
        <v>7</v>
      </c>
      <c r="C5" s="21">
        <f>COUNTIF('작업환경측정'!$G$4:$G$10,"성공")</f>
        <v>0</v>
      </c>
      <c r="D5" s="21">
        <f>COUNTIF('작업환경측정'!$G$4:$G$10,"실패")</f>
        <v>0</v>
      </c>
      <c r="E5" s="21">
        <f>COUNTIF('작업환경측정'!$G$4:$G$10,"오류")</f>
        <v>0</v>
      </c>
      <c r="F5" s="21">
        <f>COUNTIF('작업환경측정'!$G$4:$G$10,"보류")</f>
        <v>0</v>
      </c>
      <c r="G5" s="21">
        <f>COUNTIF('작업환경측정'!$G$4:$G$10,"확인 불가")</f>
        <v>0</v>
      </c>
      <c r="H5" s="21">
        <f>COUNTIF('작업환경측정'!$G$4:$G$10,"문의")</f>
        <v>0</v>
      </c>
      <c r="I5" s="21">
        <f>COUNTBLANK('작업환경측정'!$G$4:$G$10)</f>
        <v>7</v>
      </c>
      <c r="J5" s="22">
        <f>IF(B5=0,0,(B5-I5)/B5)</f>
        <v>0</v>
      </c>
    </row>
    <row r="6" ht="22" customHeight="1">
      <c r="A6" s="20" t="inlineStr">
        <is>
          <t>건강검진</t>
        </is>
      </c>
      <c r="B6" s="21">
        <f>COUNTA('건강검진'!$A$4:$A$9)</f>
        <v>6</v>
      </c>
      <c r="C6" s="21">
        <f>COUNTIF('건강검진'!$G$4:$G$9,"성공")</f>
        <v>0</v>
      </c>
      <c r="D6" s="21">
        <f>COUNTIF('건강검진'!$G$4:$G$9,"실패")</f>
        <v>0</v>
      </c>
      <c r="E6" s="21">
        <f>COUNTIF('건강검진'!$G$4:$G$9,"오류")</f>
        <v>0</v>
      </c>
      <c r="F6" s="21">
        <f>COUNTIF('건강검진'!$G$4:$G$9,"보류")</f>
        <v>0</v>
      </c>
      <c r="G6" s="21">
        <f>COUNTIF('건강검진'!$G$4:$G$9,"확인 불가")</f>
        <v>0</v>
      </c>
      <c r="H6" s="21">
        <f>COUNTIF('건강검진'!$G$4:$G$9,"문의")</f>
        <v>0</v>
      </c>
      <c r="I6" s="21">
        <f>COUNTBLANK('건강검진'!$G$4:$G$9)</f>
        <v>6</v>
      </c>
      <c r="J6" s="22">
        <f>IF(B6=0,0,(B6-I6)/B6)</f>
        <v>0</v>
      </c>
    </row>
    <row r="7" ht="24" customHeight="1">
      <c r="A7" s="23" t="inlineStr">
        <is>
          <t>합계</t>
        </is>
      </c>
      <c r="B7" s="24">
        <f>SUM(B5:B6)</f>
        <v>13</v>
      </c>
      <c r="C7" s="24">
        <f>SUM(C5:C6)</f>
        <v>0</v>
      </c>
      <c r="D7" s="24">
        <f>SUM(D5:D6)</f>
        <v>0</v>
      </c>
      <c r="E7" s="24">
        <f>SUM(E5:E6)</f>
        <v>0</v>
      </c>
      <c r="F7" s="24">
        <f>SUM(F5:F6)</f>
        <v>0</v>
      </c>
      <c r="G7" s="24">
        <f>SUM(G5:G6)</f>
        <v>0</v>
      </c>
      <c r="H7" s="24">
        <f>SUM(H5:H6)</f>
        <v>0</v>
      </c>
      <c r="I7" s="24">
        <f>SUM(I5:I6)</f>
        <v>13</v>
      </c>
      <c r="J7" s="25">
        <f>IF(B7=0,0,(B7-I7)/B7)</f>
        <v>0</v>
      </c>
    </row>
  </sheetData>
  <mergeCells count="2">
    <mergeCell ref="A1:J1"/>
    <mergeCell ref="A2:J2"/>
  </mergeCells>
  <conditionalFormatting sqref="J5:J7">
    <cfRule type="dataBar" priority="1">
      <dataBar showValue="1">
        <cfvo type="num" val="0"/>
        <cfvo type="num" val="1"/>
        <color rgb="0063BE7B"/>
      </dataBar>
    </cfRule>
  </conditionalFormatting>
  <conditionalFormatting sqref="D5:D7">
    <cfRule type="cellIs" priority="2" operator="greaterThan" dxfId="0">
      <formula>0</formula>
    </cfRule>
  </conditionalFormatting>
  <conditionalFormatting sqref="E5:E7">
    <cfRule type="cellIs" priority="3" operator="greaterThan" dxfId="0">
      <formula>0</formula>
    </cfRule>
  </conditionalFormatting>
  <conditionalFormatting sqref="H5:H7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0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작업환경·건강 — 작업환경측정</t>
        </is>
      </c>
    </row>
    <row r="2" ht="24" customHeight="1">
      <c r="A2" s="26" t="inlineStr">
        <is>
          <t>🗂 주로 QA박안전2 창에서 합니다. 내가 만드는 측정 계획은 측정 대상을 «남다슬_…»로 쓰고, 첨부 같은 조작은 내가 만든 계획에만 합니다.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66" customHeight="1">
      <c r="A4" s="28" t="n">
        <v>1</v>
      </c>
      <c r="B4" s="3" t="inlineStr">
        <is>
          <t>QA박안전2(재난안전과)</t>
        </is>
      </c>
      <c r="C4" s="3" t="inlineStr">
        <is>
          <t>작업환경·건강 &gt; 작업환경측정</t>
        </is>
      </c>
      <c r="D4" s="17" t="inlineStr">
        <is>
          <t>화면과 숫자 카드</t>
        </is>
      </c>
      <c r="E4" s="3" t="inlineStr">
        <is>
          <t>① 숫자 카드(전체 대상 · 측정 완료 · 미실시 · 개선 필요 · 기한 초과)를 하나씩 누른다
② 같은 카드를 한 번 더 누른다
③ 기준연도 · 반기 · 부서 조건을 바꿔 본다</t>
        </is>
      </c>
      <c r="F4" s="3" t="inlineStr">
        <is>
          <t>카드를 누르면 그 상태 줄만 남고 줄 수가 카드 숫자와 같다. 한 번 더 누르면 풀린다. 조건을 바꾸면 카드 숫자도 따라 바뀐다</t>
        </is>
      </c>
      <c r="G4" s="29" t="n"/>
      <c r="H4" s="7" t="n"/>
      <c r="I4" s="7" t="n"/>
    </row>
    <row r="5" ht="141" customHeight="1">
      <c r="A5" s="28" t="n">
        <v>2</v>
      </c>
      <c r="B5" s="30" t="inlineStr">
        <is>
          <t>QA박안전2(재난안전과)</t>
        </is>
      </c>
      <c r="C5" s="30" t="inlineStr">
        <is>
          <t>작업환경·건강 &gt; 작업환경측정</t>
        </is>
      </c>
      <c r="D5" s="17" t="inlineStr">
        <is>
          <t>측정 계획 등록</t>
        </is>
      </c>
      <c r="E5" s="3" t="inlineStr">
        <is>
          <t>① 새로고침해 조건을 처음 상태(올해 · 전체)로 돌린다
② [＋ 측정 계획 등록] → 빈 채로 [등록]
③ [조직도]로 내 부서(건설과)를 고르고 사업장을 고른다(«등록된 사업장 없음…»이면 사업장이 있는 다른 부서를 고른다)
④ 측정 대상을 «남다슬_소음»으로 고쳐 쓰고 측정 예정일을 오늘부터 7일 뒤로 → [등록]
⑤ 같은 내용으로 한 번 더 등록해 본다</t>
        </is>
      </c>
      <c r="F5" s="3" t="inlineStr">
        <is>
          <t>빈 채로는 «대상 부서를 선택하세요.» 등록하면 «측정 계획이 등록되었습니다.»와 함께 목록에 «남다슬_소음» 줄이 생긴다. 같은 내용은 «같은 반기·사업장·유해인자의 측정계획이 이미 있습니다.»로 막힌다</t>
        </is>
      </c>
      <c r="G5" s="29" t="n"/>
      <c r="H5" s="7" t="n"/>
      <c r="I5" s="7" t="n"/>
    </row>
    <row r="6" ht="96" customHeight="1">
      <c r="A6" s="28" t="n">
        <v>3</v>
      </c>
      <c r="B6" s="30" t="inlineStr">
        <is>
          <t>QA박안전2(재난안전과)</t>
        </is>
      </c>
      <c r="C6" s="30" t="inlineStr">
        <is>
          <t>작업환경·건강 &gt; 작업환경측정</t>
        </is>
      </c>
      <c r="D6" s="17" t="inlineStr">
        <is>
          <t>상세와 결과보고서 등록</t>
        </is>
      </c>
      <c r="E6" s="3" t="inlineStr">
        <is>
          <t>① 2번의 «남다슬_소음» 줄을 눌러 상세를 연다
② [증빙 등록] → 파일을 올린다(«…연계 후 제공됩니다»가 뜨면 넘어간다) → [등록]</t>
        </is>
      </c>
      <c r="F6" s="3" t="inlineStr">
        <is>
          <t>«증빙이 등록되었습니다.» 뒤 «용역 결과보고서»에 «위탁업체 결과보고서가 등록되어 있습니다.»가 보이고, «요청 · 변경 이력»에 «결과보고서 등록»이 내 QA박안전2 계정 이름으로 남는다. 목록의 결과보고서 칸은 «첨부됨»이다. 아무것도 안 남으면 «실패»</t>
        </is>
      </c>
      <c r="G6" s="29" t="n"/>
      <c r="H6" s="7" t="n"/>
      <c r="I6" s="7" t="n"/>
    </row>
    <row r="7" ht="51" customHeight="1">
      <c r="A7" s="28" t="n">
        <v>4</v>
      </c>
      <c r="B7" s="3" t="inlineStr">
        <is>
          <t>QA하정수2(담당 공무원) → QA박안전2(재난안전과)</t>
        </is>
      </c>
      <c r="C7" s="30" t="inlineStr">
        <is>
          <t>작업환경·건강 &gt; 작업환경측정</t>
        </is>
      </c>
      <c r="D7" s="17" t="inlineStr">
        <is>
          <t>QA하정수2 계정에는 내 부서만</t>
        </is>
      </c>
      <c r="E7" s="3" t="inlineStr">
        <is>
          <t>① QA하정수2 창에서 목록과 부서 조건 드롭다운을 본다
② QA박안전2 창에서 같은 화면을 본다</t>
        </is>
      </c>
      <c r="F7" s="3" t="inlineStr">
        <is>
          <t>QA하정수2 계정에는 내 부서 줄만 있고(없으면 빈 목록) 부서 조건에도 내 부서 말고는 없다. QA박안전2 계정에는 다른 부서 줄도 보인다</t>
        </is>
      </c>
      <c r="G7" s="29" t="n"/>
      <c r="H7" s="7" t="n"/>
      <c r="I7" s="7" t="n"/>
    </row>
    <row r="8" ht="96" customHeight="1">
      <c r="A8" s="28" t="n">
        <v>5</v>
      </c>
      <c r="B8" s="3" t="inlineStr">
        <is>
          <t>QA하정수2(담당 공무원)</t>
        </is>
      </c>
      <c r="C8" s="30" t="inlineStr">
        <is>
          <t>작업환경·건강 &gt; 작업환경측정</t>
        </is>
      </c>
      <c r="D8" s="17" t="inlineStr">
        <is>
          <t>QA하정수2 계정도 내 부서 계획을 등록한다</t>
        </is>
      </c>
      <c r="E8" s="3" t="inlineStr">
        <is>
          <t>① [＋ 측정 계획 등록]
② [조직도]로 내 부서를 고르고 사업장을 고른다
③ 측정 대상을 «남다슬_분진»으로 고쳐 쓰고 측정 예정일을 오늘부터 7일 뒤로 → [등록]
④ 새 줄을 눌러 상세를 연다</t>
        </is>
      </c>
      <c r="F8" s="3" t="inlineStr">
        <is>
          <t>등록 버튼이 있고, 등록하면 목록에 «남다슬_분진» 줄이 생긴다. 상세에 [측정 완료 처리] · [증빙 등록]이 있고, «요청 · 변경 이력»의 «측정 계획 등록 (예정일 …)» 줄이 QA하정수2 계정 이름으로 남는다. 내 부서에 사업장이 없으면 «확인 불가»</t>
        </is>
      </c>
      <c r="G8" s="29" t="n"/>
      <c r="H8" s="7" t="n"/>
      <c r="I8" s="7" t="n"/>
    </row>
    <row r="9" ht="81" customHeight="1">
      <c r="A9" s="28" t="n">
        <v>6</v>
      </c>
      <c r="B9" s="30" t="inlineStr">
        <is>
          <t>QA하정수2(담당 공무원)</t>
        </is>
      </c>
      <c r="C9" s="30" t="inlineStr">
        <is>
          <t>작업환경·건강 &gt; 작업환경측정</t>
        </is>
      </c>
      <c r="D9" s="17" t="inlineStr">
        <is>
          <t>남의 부서 이름으로는 등록 못 한다</t>
        </is>
      </c>
      <c r="E9" s="3" t="inlineStr">
        <is>
          <t>① [＋ 측정 계획 등록]
② 대상 부서 칸과 [조직도]를 본다
③ [조직도]에서 내 부서가 아닌 부서를 골라 사업장 · 측정 대상 «남다슬_남의부서»로 [등록]을 눌러 본다</t>
        </is>
      </c>
      <c r="F9" s="3" t="inlineStr">
        <is>
          <t>부서 칸이 내 부서로 고정돼 있거나, 남의 부서를 고르면 등록이 막힌다. 등록되면 «실패»(내 목록에 안 보이면 QA박안전2 창에서 «남다슬_남의부서»를 찾아 메모에 적는다)</t>
        </is>
      </c>
      <c r="G9" s="29" t="n"/>
      <c r="H9" s="7" t="n"/>
      <c r="I9" s="7" t="n"/>
    </row>
    <row r="10" ht="66" customHeight="1">
      <c r="A10" s="28" t="n">
        <v>7</v>
      </c>
      <c r="B10" s="3" t="inlineStr">
        <is>
          <t>QA박안전2(재난안전과) → QA하정수2(담당 공무원)</t>
        </is>
      </c>
      <c r="C10" s="30" t="inlineStr">
        <is>
          <t>작업환경·건강 &gt; 작업환경측정</t>
        </is>
      </c>
      <c r="D10" s="17" t="inlineStr">
        <is>
          <t>남의 부서 건은 주소로도 못 연다</t>
        </is>
      </c>
      <c r="E10" s="3" t="inlineStr">
        <is>
          <t>① QA박안전2 창에서 부서가 내 부서(건설과)와 다른 줄을 눌러 상세를 열고 주소창의 주소를 복사한다
② QA하정수2 창 주소창에 붙여넣고 연다</t>
        </is>
      </c>
      <c r="F10" s="3" t="inlineStr">
        <is>
          <t>«조회 범위 밖입니다 — 소속 부서 건만 볼 수 있습니다.»만 보이고 그 건의 내용은 보이지 않는다</t>
        </is>
      </c>
      <c r="G10" s="29" t="n"/>
      <c r="H10" s="7" t="n"/>
      <c r="I10" s="7" t="n"/>
    </row>
  </sheetData>
  <autoFilter ref="A3:I10"/>
  <mergeCells count="2">
    <mergeCell ref="A1:I1"/>
    <mergeCell ref="A2:I2"/>
  </mergeCells>
  <conditionalFormatting sqref="G4:G10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0">
    <cfRule type="expression" priority="7" dxfId="7">
      <formula>AND(OR($G4="실패",$G4="오류",$G4="문의"),$H4="")</formula>
    </cfRule>
  </conditionalFormatting>
  <dataValidations count="1">
    <dataValidation sqref="G4:G10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9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작업환경·건강 — 건강검진</t>
        </is>
      </c>
    </row>
    <row r="2" ht="24" customHeight="1">
      <c r="A2" s="26" t="inlineStr">
        <is>
          <t>🗂 주로 QA박안전2 창에서 합니다. 내가 만드는 검진 계획은 위탁 검진기관을 «남다슬_…»로 쓰고, 첨부는 내가 만든 계획에만 합니다. 건강검진은 개인정보라 QA하정수2 계정에는 내 부서 것만 보여야 합니다.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96" customHeight="1">
      <c r="A4" s="28" t="n">
        <v>8</v>
      </c>
      <c r="B4" s="3" t="inlineStr">
        <is>
          <t>QA박안전2(재난안전과)</t>
        </is>
      </c>
      <c r="C4" s="3" t="inlineStr">
        <is>
          <t>작업환경·건강 &gt; 건강검진 (일반·특수)</t>
        </is>
      </c>
      <c r="D4" s="17" t="inlineStr">
        <is>
          <t>화면과 조건</t>
        </is>
      </c>
      <c r="E4" s="3" t="inlineStr">
        <is>
          <t>① 기준연도 · 검진 유형 · 부서 조건을 바꿔 본다
② «사후관리 대상» · «기한 초과» 카드를 누르고 한 번 더 누른다
③ 인원 카드(전체 대상자 · 검진 완료 · 미검진)를 눌러 본다</t>
        </is>
      </c>
      <c r="F4" s="3" t="inlineStr">
        <is>
          <t>조건대로 걸러진다. «사후관리 대상» · «기한 초과»는 누르면 그 숫자만큼 줄이 남고 다시 누르면 풀린다. 인원 카드(명)는 눌리지 않는다</t>
        </is>
      </c>
      <c r="G4" s="29" t="n"/>
      <c r="H4" s="7" t="n"/>
      <c r="I4" s="7" t="n"/>
    </row>
    <row r="5" ht="126" customHeight="1">
      <c r="A5" s="28" t="n">
        <v>9</v>
      </c>
      <c r="B5" s="30" t="inlineStr">
        <is>
          <t>QA박안전2(재난안전과)</t>
        </is>
      </c>
      <c r="C5" s="30" t="inlineStr">
        <is>
          <t>작업환경·건강 &gt; 건강검진 (일반·특수)</t>
        </is>
      </c>
      <c r="D5" s="17" t="inlineStr">
        <is>
          <t>검진 계획 등록</t>
        </is>
      </c>
      <c r="E5" s="3" t="inlineStr">
        <is>
          <t>① 새로고침해 조건을 처음 상태(올해 · 전체)로 돌린다
② [＋ 검진 계획 등록] → 빈 채로 [등록]
③ [조직도]로 내 부서(건설과)를 고르고 검진 유형 일반건강검진, 위탁 검진기관 «남다슬_검진기관», 검진 예정일 오늘부터 7일 뒤 → [등록]
④ 같은 내용으로 한 번 더 등록해 본다</t>
        </is>
      </c>
      <c r="F5" s="3" t="inlineStr">
        <is>
          <t>빈 채로는 «대상 부서를 선택하세요.» 등록하면 «검진 계획이 등록되었습니다.»와 함께 목록에 «남다슬_검진기관» 줄이 생긴다. 같은 내용은 «같은 부서·검진유형·예정일의 계획이 이미 있습니다.»로 막힌다</t>
        </is>
      </c>
      <c r="G5" s="29" t="n"/>
      <c r="H5" s="7" t="n"/>
      <c r="I5" s="7" t="n"/>
    </row>
    <row r="6" ht="81" customHeight="1">
      <c r="A6" s="28" t="n">
        <v>10</v>
      </c>
      <c r="B6" s="30" t="inlineStr">
        <is>
          <t>QA박안전2(재난안전과)</t>
        </is>
      </c>
      <c r="C6" s="30" t="inlineStr">
        <is>
          <t>작업환경·건강 &gt; 건강검진 (일반·특수)</t>
        </is>
      </c>
      <c r="D6" s="17" t="inlineStr">
        <is>
          <t>실시 증빙과 상세</t>
        </is>
      </c>
      <c r="E6" s="3" t="inlineStr">
        <is>
          <t>① 9번 «남다슬_검진기관» 줄의 [＋ 첨부] → 파일을 올린다(«…연계 후 제공됩니다»가 뜨면 넘어간다) → [등록]
② 그 줄을 눌러 상세를 연다</t>
        </is>
      </c>
      <c r="F6" s="3" t="inlineStr">
        <is>
          <t>«증빙이 등록되었습니다.» 뒤 목록의 결과보고서 칸이 «첨부됨»이 된다. 상세 «실시 증빙»에 «실시 증빙이 등록되어 있습니다.»가 보이고 «처리 · 변경 이력»에 «실시 증빙 등록»이 내 QA박안전2 계정 이름으로 남는다</t>
        </is>
      </c>
      <c r="G6" s="29" t="n"/>
      <c r="H6" s="7" t="n"/>
      <c r="I6" s="7" t="n"/>
    </row>
    <row r="7" ht="66" customHeight="1">
      <c r="A7" s="28" t="n">
        <v>11</v>
      </c>
      <c r="B7" s="3" t="inlineStr">
        <is>
          <t>QA하정수2(담당 공무원) → QA박안전2(재난안전과)</t>
        </is>
      </c>
      <c r="C7" s="30" t="inlineStr">
        <is>
          <t>작업환경·건강 &gt; 건강검진 (일반·특수)</t>
        </is>
      </c>
      <c r="D7" s="17" t="inlineStr">
        <is>
          <t>계정별 차이</t>
        </is>
      </c>
      <c r="E7" s="3" t="inlineStr">
        <is>
          <t>① QA하정수2 창에서 목록 · 부서 조건 · 등록 버튼을 본다
② 9번 «남다슬_검진기관» 줄의 상세를 연다
③ QA박안전2 창에서 목록을 본다</t>
        </is>
      </c>
      <c r="F7" s="3" t="inlineStr">
        <is>
          <t>QA하정수2 계정에는 내 부서 줄만 있고(9번 줄 포함) [＋ 검진 계획 등록]이 있다. 9번 상세에는 [검진 완료 처리] · [증빙 등록]이 있다. QA박안전2 계정에는 다른 부서 줄도 보인다</t>
        </is>
      </c>
      <c r="G7" s="29" t="n"/>
      <c r="H7" s="7" t="n"/>
      <c r="I7" s="7" t="n"/>
    </row>
    <row r="8" ht="81" customHeight="1">
      <c r="A8" s="28" t="n">
        <v>12</v>
      </c>
      <c r="B8" s="3" t="inlineStr">
        <is>
          <t>QA하정수2(담당 공무원)</t>
        </is>
      </c>
      <c r="C8" s="30" t="inlineStr">
        <is>
          <t>작업환경·건강 &gt; 건강검진 (일반·특수)</t>
        </is>
      </c>
      <c r="D8" s="17" t="inlineStr">
        <is>
          <t>남의 부서 이름으로는 등록 못 한다</t>
        </is>
      </c>
      <c r="E8" s="3" t="inlineStr">
        <is>
          <t>① [＋ 검진 계획 등록]
② 대상 부서 칸과 [조직도]를 본다
③ [조직도]에서 내 부서가 아닌 부서를 골라 위탁 검진기관 «남다슬_남의부서», 예정일 오늘부터 7일 뒤로 [등록]을 눌러 본다</t>
        </is>
      </c>
      <c r="F8" s="3" t="inlineStr">
        <is>
          <t>부서 칸이 내 부서로 고정돼 있거나, 남의 부서를 고르면 등록이 막힌다. 등록되면 «실패»(내 목록에 안 보이면 QA박안전2 창에서 «남다슬_남의부서»를 찾아 메모에 적는다)</t>
        </is>
      </c>
      <c r="G8" s="29" t="n"/>
      <c r="H8" s="7" t="n"/>
      <c r="I8" s="7" t="n"/>
    </row>
    <row r="9" ht="66" customHeight="1">
      <c r="A9" s="28" t="n">
        <v>13</v>
      </c>
      <c r="B9" s="3" t="inlineStr">
        <is>
          <t>QA박안전2(재난안전과) → QA하정수2(담당 공무원)</t>
        </is>
      </c>
      <c r="C9" s="30" t="inlineStr">
        <is>
          <t>작업환경·건강 &gt; 건강검진 (일반·특수)</t>
        </is>
      </c>
      <c r="D9" s="17" t="inlineStr">
        <is>
          <t>남의 부서 검진은 주소로도 못 연다</t>
        </is>
      </c>
      <c r="E9" s="3" t="inlineStr">
        <is>
          <t>① QA박안전2 창에서 부서가 내 부서(건설과)와 다른 줄을 눌러 상세를 열고 주소창의 주소를 복사한다
② QA하정수2 창 주소창에 붙여넣고 연다</t>
        </is>
      </c>
      <c r="F9" s="3" t="inlineStr">
        <is>
          <t>«조회 범위 밖입니다 — 소속 부서 건만 볼 수 있습니다.»만 보이고 대상 인원 · 수검률 같은 내용은 보이지 않는다</t>
        </is>
      </c>
      <c r="G9" s="29" t="n"/>
      <c r="H9" s="7" t="n"/>
      <c r="I9" s="7" t="n"/>
    </row>
  </sheetData>
  <autoFilter ref="A3:I9"/>
  <mergeCells count="2">
    <mergeCell ref="A1:I1"/>
    <mergeCell ref="A2:I2"/>
  </mergeCells>
  <conditionalFormatting sqref="G4:G9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9">
    <cfRule type="expression" priority="7" dxfId="7">
      <formula>AND(OR($G4="실패",$G4="오류",$G4="문의"),$H4="")</formula>
    </cfRule>
  </conditionalFormatting>
  <dataValidations count="1">
    <dataValidation sqref="G4:G9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작업환경·건강</t>
        </is>
      </c>
    </row>
    <row r="3">
      <c r="A3" t="inlineStr">
        <is>
          <t>담당자</t>
        </is>
      </c>
      <c r="B3" t="inlineStr">
        <is>
          <t>남다슬</t>
        </is>
      </c>
    </row>
    <row r="4">
      <c r="A4" t="inlineStr">
        <is>
          <t>파일 코드</t>
        </is>
      </c>
      <c r="B4" t="inlineStr">
        <is>
          <t>WE</t>
        </is>
      </c>
    </row>
    <row r="5">
      <c r="A5" t="inlineStr">
        <is>
          <t>종류</t>
        </is>
      </c>
      <c r="B5" t="inlineStr">
        <is>
          <t>스모크</t>
        </is>
      </c>
    </row>
    <row r="6">
      <c r="A6" t="inlineStr">
        <is>
          <t>생성일</t>
        </is>
      </c>
      <c r="B6" t="inlineStr">
        <is>
          <t>2026-09-30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2026-09-30T00:30:17Z</dcterms:created>
  <dcterms:modified xmlns:dcterms="http://purl.org/dc/terms/" xmlns:xsi="http://www.w3.org/2001/XMLSchema-instance" xsi:type="dcterms:W3CDTF">2026-09-30T00:30:17Z</dcterms:modified>
</cp:coreProperties>
</file>