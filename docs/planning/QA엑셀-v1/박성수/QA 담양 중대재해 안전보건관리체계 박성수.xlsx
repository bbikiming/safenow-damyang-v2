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경영방침" sheetId="3" state="visible" r:id="rId3"/>
    <sheet xmlns:r="http://schemas.openxmlformats.org/officeDocument/2006/relationships" name="조직" sheetId="4" state="visible" r:id="rId4"/>
    <sheet xmlns:r="http://schemas.openxmlformats.org/officeDocument/2006/relationships" name="이행점검" sheetId="5" state="visible" r:id="rId5"/>
    <sheet xmlns:r="http://schemas.openxmlformats.org/officeDocument/2006/relationships" name="도급관리" sheetId="6" state="visible" r:id="rId6"/>
    <sheet xmlns:r="http://schemas.openxmlformats.org/officeDocument/2006/relationships" name="_정보" sheetId="7" state="hidden" r:id="rId7"/>
  </sheets>
  <definedNames>
    <definedName name="_xlnm._FilterDatabase" localSheetId="2" hidden="1">'경영방침'!$A$3:$I$9</definedName>
    <definedName name="_xlnm.Print_Titles" localSheetId="2">'경영방침'!$3:$3</definedName>
    <definedName name="_xlnm._FilterDatabase" localSheetId="3" hidden="1">'조직'!$A$3:$I$7</definedName>
    <definedName name="_xlnm.Print_Titles" localSheetId="3">'조직'!$3:$3</definedName>
    <definedName name="_xlnm._FilterDatabase" localSheetId="4" hidden="1">'이행점검'!$A$3:$I$10</definedName>
    <definedName name="_xlnm.Print_Titles" localSheetId="4">'이행점검'!$3:$3</definedName>
    <definedName name="_xlnm._FilterDatabase" localSheetId="5" hidden="1">'도급관리'!$A$3:$I$7</definedName>
    <definedName name="_xlnm.Print_Titles" localSheetId="5">'도급관리'!$3:$3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안전보건관리체계 · 박성수</t>
        </is>
      </c>
    </row>
    <row r="3" ht="22" customHeight="1">
      <c r="A3" s="2" t="inlineStr">
        <is>
          <t>메뉴</t>
        </is>
      </c>
      <c r="B3" s="3" t="inlineStr">
        <is>
          <t>안전보건관리체계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박성수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QA박안전3 (재난안전과 담당자) · QA하정수3 (내 부서 공공시설사업소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경영방침 · 조직 · 이행점검 · 도급관리를 봅니다. 대부분 QA박안전3 창에서 하고, QA하정수3 창에서는 내 부서 줄만 고칠 수 있는지 봅니다. 군 전체에 하나뿐인 것(선임 칸 · 수행평가 · 반기 점검표 · 반기 마감)은 열어 보기만 하고 저장·상신하지 않습니다.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21줄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경영방침 → 조직 → 이행점검 → 도급관리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QA박안전3(재난안전과), 시크릿 창(Ctrl + Shift + N · 맥 Cmd + Shift + N)에는 QA하정수3(담당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QA박안전3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QA하정수3</t>
        </is>
      </c>
      <c r="B40" s="3" t="inlineStr">
        <is>
          <t>담당 공무원 (내 부서: 공공시설사업소)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«박성수_집합교육».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QA박안전3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안전보건관리체계 · 박성수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경영방침</t>
        </is>
      </c>
      <c r="B5" s="21">
        <f>COUNTA('경영방침'!$A$4:$A$9)</f>
        <v>6</v>
      </c>
      <c r="C5" s="21">
        <f>COUNTIF('경영방침'!$G$4:$G$9,"성공")</f>
        <v>0</v>
      </c>
      <c r="D5" s="21">
        <f>COUNTIF('경영방침'!$G$4:$G$9,"실패")</f>
        <v>0</v>
      </c>
      <c r="E5" s="21">
        <f>COUNTIF('경영방침'!$G$4:$G$9,"오류")</f>
        <v>0</v>
      </c>
      <c r="F5" s="21">
        <f>COUNTIF('경영방침'!$G$4:$G$9,"보류")</f>
        <v>0</v>
      </c>
      <c r="G5" s="21">
        <f>COUNTIF('경영방침'!$G$4:$G$9,"확인 불가")</f>
        <v>0</v>
      </c>
      <c r="H5" s="21">
        <f>COUNTIF('경영방침'!$G$4:$G$9,"문의")</f>
        <v>0</v>
      </c>
      <c r="I5" s="21">
        <f>COUNTBLANK('경영방침'!$G$4:$G$9)</f>
        <v>6</v>
      </c>
      <c r="J5" s="22">
        <f>IF(B5=0,0,(B5-I5)/B5)</f>
        <v>0</v>
      </c>
    </row>
    <row r="6" ht="22" customHeight="1">
      <c r="A6" s="20" t="inlineStr">
        <is>
          <t>조직</t>
        </is>
      </c>
      <c r="B6" s="21">
        <f>COUNTA('조직'!$A$4:$A$7)</f>
        <v>4</v>
      </c>
      <c r="C6" s="21">
        <f>COUNTIF('조직'!$G$4:$G$7,"성공")</f>
        <v>0</v>
      </c>
      <c r="D6" s="21">
        <f>COUNTIF('조직'!$G$4:$G$7,"실패")</f>
        <v>0</v>
      </c>
      <c r="E6" s="21">
        <f>COUNTIF('조직'!$G$4:$G$7,"오류")</f>
        <v>0</v>
      </c>
      <c r="F6" s="21">
        <f>COUNTIF('조직'!$G$4:$G$7,"보류")</f>
        <v>0</v>
      </c>
      <c r="G6" s="21">
        <f>COUNTIF('조직'!$G$4:$G$7,"확인 불가")</f>
        <v>0</v>
      </c>
      <c r="H6" s="21">
        <f>COUNTIF('조직'!$G$4:$G$7,"문의")</f>
        <v>0</v>
      </c>
      <c r="I6" s="21">
        <f>COUNTBLANK('조직'!$G$4:$G$7)</f>
        <v>4</v>
      </c>
      <c r="J6" s="22">
        <f>IF(B6=0,0,(B6-I6)/B6)</f>
        <v>0</v>
      </c>
    </row>
    <row r="7" ht="22" customHeight="1">
      <c r="A7" s="20" t="inlineStr">
        <is>
          <t>이행점검</t>
        </is>
      </c>
      <c r="B7" s="21">
        <f>COUNTA('이행점검'!$A$4:$A$10)</f>
        <v>7</v>
      </c>
      <c r="C7" s="21">
        <f>COUNTIF('이행점검'!$G$4:$G$10,"성공")</f>
        <v>0</v>
      </c>
      <c r="D7" s="21">
        <f>COUNTIF('이행점검'!$G$4:$G$10,"실패")</f>
        <v>0</v>
      </c>
      <c r="E7" s="21">
        <f>COUNTIF('이행점검'!$G$4:$G$10,"오류")</f>
        <v>0</v>
      </c>
      <c r="F7" s="21">
        <f>COUNTIF('이행점검'!$G$4:$G$10,"보류")</f>
        <v>0</v>
      </c>
      <c r="G7" s="21">
        <f>COUNTIF('이행점검'!$G$4:$G$10,"확인 불가")</f>
        <v>0</v>
      </c>
      <c r="H7" s="21">
        <f>COUNTIF('이행점검'!$G$4:$G$10,"문의")</f>
        <v>0</v>
      </c>
      <c r="I7" s="21">
        <f>COUNTBLANK('이행점검'!$G$4:$G$10)</f>
        <v>7</v>
      </c>
      <c r="J7" s="22">
        <f>IF(B7=0,0,(B7-I7)/B7)</f>
        <v>0</v>
      </c>
    </row>
    <row r="8" ht="22" customHeight="1">
      <c r="A8" s="20" t="inlineStr">
        <is>
          <t>도급관리</t>
        </is>
      </c>
      <c r="B8" s="21">
        <f>COUNTA('도급관리'!$A$4:$A$7)</f>
        <v>4</v>
      </c>
      <c r="C8" s="21">
        <f>COUNTIF('도급관리'!$G$4:$G$7,"성공")</f>
        <v>0</v>
      </c>
      <c r="D8" s="21">
        <f>COUNTIF('도급관리'!$G$4:$G$7,"실패")</f>
        <v>0</v>
      </c>
      <c r="E8" s="21">
        <f>COUNTIF('도급관리'!$G$4:$G$7,"오류")</f>
        <v>0</v>
      </c>
      <c r="F8" s="21">
        <f>COUNTIF('도급관리'!$G$4:$G$7,"보류")</f>
        <v>0</v>
      </c>
      <c r="G8" s="21">
        <f>COUNTIF('도급관리'!$G$4:$G$7,"확인 불가")</f>
        <v>0</v>
      </c>
      <c r="H8" s="21">
        <f>COUNTIF('도급관리'!$G$4:$G$7,"문의")</f>
        <v>0</v>
      </c>
      <c r="I8" s="21">
        <f>COUNTBLANK('도급관리'!$G$4:$G$7)</f>
        <v>4</v>
      </c>
      <c r="J8" s="22">
        <f>IF(B8=0,0,(B8-I8)/B8)</f>
        <v>0</v>
      </c>
    </row>
    <row r="9" ht="24" customHeight="1">
      <c r="A9" s="23" t="inlineStr">
        <is>
          <t>합계</t>
        </is>
      </c>
      <c r="B9" s="24">
        <f>SUM(B5:B8)</f>
        <v>21</v>
      </c>
      <c r="C9" s="24">
        <f>SUM(C5:C8)</f>
        <v>0</v>
      </c>
      <c r="D9" s="24">
        <f>SUM(D5:D8)</f>
        <v>0</v>
      </c>
      <c r="E9" s="24">
        <f>SUM(E5:E8)</f>
        <v>0</v>
      </c>
      <c r="F9" s="24">
        <f>SUM(F5:F8)</f>
        <v>0</v>
      </c>
      <c r="G9" s="24">
        <f>SUM(G5:G8)</f>
        <v>0</v>
      </c>
      <c r="H9" s="24">
        <f>SUM(H5:H8)</f>
        <v>0</v>
      </c>
      <c r="I9" s="24">
        <f>SUM(I5:I8)</f>
        <v>21</v>
      </c>
      <c r="J9" s="25">
        <f>IF(B9=0,0,(B9-I9)/B9)</f>
        <v>0</v>
      </c>
    </row>
  </sheetData>
  <mergeCells count="2">
    <mergeCell ref="A1:J1"/>
    <mergeCell ref="A2:J2"/>
  </mergeCells>
  <conditionalFormatting sqref="J5:J9">
    <cfRule type="dataBar" priority="1">
      <dataBar showValue="1">
        <cfvo type="num" val="0"/>
        <cfvo type="num" val="1"/>
        <color rgb="0063BE7B"/>
      </dataBar>
    </cfRule>
  </conditionalFormatting>
  <conditionalFormatting sqref="D5:D9">
    <cfRule type="cellIs" priority="2" operator="greaterThan" dxfId="0">
      <formula>0</formula>
    </cfRule>
  </conditionalFormatting>
  <conditionalFormatting sqref="E5:E9">
    <cfRule type="cellIs" priority="3" operator="greaterThan" dxfId="0">
      <formula>0</formula>
    </cfRule>
  </conditionalFormatting>
  <conditionalFormatting sqref="H5:H9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경영방침</t>
        </is>
      </c>
    </row>
    <row r="2" ht="24" customHeight="1">
      <c r="A2" s="26" t="inlineStr">
        <is>
          <t>🗂 주로 QA박안전3 창에서 합니다. 방침 버전은 군 전체가 함께 쓰므로 내가 만든 버전만 상신·회신하고, 부서 줄은 내 부서(공공시설사업소) 줄만 고칩니다.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QA박안전3(재난안전과)</t>
        </is>
      </c>
      <c r="C4" s="3" t="inlineStr">
        <is>
          <t>안전보건관리체계 &gt; 경영방침</t>
        </is>
      </c>
      <c r="D4" s="17" t="inlineStr">
        <is>
          <t>화면과 탭</t>
        </is>
      </c>
      <c r="E4" s="3" t="inlineStr">
        <is>
          <t>① 메뉴로 들어간다
② [경영방침] · [이행 점검] · [게시 현황] 탭을 차례로 누른다</t>
        </is>
      </c>
      <c r="F4" s="3" t="inlineStr">
        <is>
          <t>세 탭이 열린다. 방침 목록에 버전마다 상태(현행 · 이력 등)가 보이고 «현행»은 한 버전에만 붙어 있다</t>
        </is>
      </c>
      <c r="G4" s="29" t="n"/>
      <c r="H4" s="7" t="n"/>
      <c r="I4" s="7" t="n"/>
    </row>
    <row r="5" ht="96" customHeight="1">
      <c r="A5" s="28" t="n">
        <v>2</v>
      </c>
      <c r="B5" s="30" t="inlineStr">
        <is>
          <t>QA박안전3(재난안전과)</t>
        </is>
      </c>
      <c r="C5" s="30" t="inlineStr">
        <is>
          <t>안전보건관리체계 &gt; 경영방침</t>
        </is>
      </c>
      <c r="D5" s="17" t="inlineStr">
        <is>
          <t>새 방침 버전 만들기</t>
        </is>
      </c>
      <c r="E5" s="3" t="inlineStr">
        <is>
          <t>① [경영방침] 탭의 [+ 등록]
② «개정»을 고른다
③ 목표를 비운 채 [저장]
④ 목표 «박성수_안전 담양»과 세부 방침 한 줄을 적고 [저장]
⑤ 알림에 뜬 버전 번호를 메모한다</t>
        </is>
      </c>
      <c r="F5" s="3" t="inlineStr">
        <is>
          <t>빈 목표는 «목표를 입력하세요»로 막힌다. 저장하면 «경영방침 vN (개정) 등록 완료»가 뜨고 내 버전 상세가 열리며 상태는 «결재 대기»</t>
        </is>
      </c>
      <c r="G5" s="29" t="n"/>
      <c r="H5" s="7" t="n"/>
      <c r="I5" s="7" t="n"/>
    </row>
    <row r="6" ht="156" customHeight="1">
      <c r="A6" s="28" t="n">
        <v>3</v>
      </c>
      <c r="B6" s="30" t="inlineStr">
        <is>
          <t>QA박안전3(재난안전과)</t>
        </is>
      </c>
      <c r="C6" s="30" t="inlineStr">
        <is>
          <t>안전보건관리체계 &gt; 경영방침</t>
        </is>
      </c>
      <c r="D6" s="17" t="inlineStr">
        <is>
          <t>상신 전에 결재선을 고른다</t>
        </is>
      </c>
      <c r="E6" s="3" t="inlineStr">
        <is>
          <t>① 2번에서 만든 내 버전 상세에서 [온나라 결재 상신]
② 결재선 창에서 [＋ 검토]로 빈 칸을 만들고 [상신]
③ 빈 칸 줄의 [×]로 지운다
④ 검토 · 결재의 [조직도]에서 다른 사람의 박안전 계정 두 개(내 번호가 아닌 것)를 고른다
⑤ [취소] — 상신하지 않는다(경영방침은 상신하면 바로 결재완료가 되어 군 전체의 현행 방침이 바뀐다)</t>
        </is>
      </c>
      <c r="F6" s="3" t="inlineStr">
        <is>
          <t>상신 전에 결재선 창이 뜬다. 빈 칸이 있으면 결재자를 고르라는 안내로 막히고, 조직도에서 내 계정은 고를 수 없다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QA박안전3(재난안전과)</t>
        </is>
      </c>
      <c r="C7" s="30" t="inlineStr">
        <is>
          <t>안전보건관리체계 &gt; 경영방침</t>
        </is>
      </c>
      <c r="D7" s="17" t="inlineStr">
        <is>
          <t>상신 전 버전은 현행 방침이 아니다</t>
        </is>
      </c>
      <c r="E7" s="3" t="inlineStr">
        <is>
          <t>① 2번에서 만든 내 버전의 상태를 본다
② 현행 방침 표시가 어느 버전에 붙어 있는지 본다</t>
        </is>
      </c>
      <c r="F7" s="3" t="inlineStr">
        <is>
          <t>내 버전은 상신 전 상태이고, 현행 방침 표시는 내 버전이 아닌 기존 버전에 있다</t>
        </is>
      </c>
      <c r="G7" s="29" t="n"/>
      <c r="H7" s="7" t="n"/>
      <c r="I7" s="7" t="n"/>
    </row>
    <row r="8" ht="111" customHeight="1">
      <c r="A8" s="28" t="n">
        <v>5</v>
      </c>
      <c r="B8" s="30" t="inlineStr">
        <is>
          <t>QA박안전3(재난안전과)</t>
        </is>
      </c>
      <c r="C8" s="30" t="inlineStr">
        <is>
          <t>안전보건관리체계 &gt; 경영방침</t>
        </is>
      </c>
      <c r="D8" s="17" t="inlineStr">
        <is>
          <t>게시 현황 저장 규칙</t>
        </is>
      </c>
      <c r="E8" s="3" t="inlineStr">
        <is>
          <t>① [게시 현황] 탭
② 내 부서(공공시설사업소) 줄의 [확인 등록]
③ «해당없음»을 고르고 사유 없이 [저장]
④ «게시»를 고르고 사진 · 위치 없이 [저장]
⑤ 사진 파일을 올리고 [저장]
⑥ 게시 위치 «박성수_1층 게시판»을 적고 [저장]</t>
        </is>
      </c>
      <c r="F8" s="3" t="inlineStr">
        <is>
          <t>차례로 «해당없음 사유를 적으세요 — 사유 없이 빠질 수 없습니다.» «게시로 등록하려면 게시 사진이 필요합니다.» «게시 위치를 입력하세요.»로 막힌다. 다 채우면 내 부서 줄이 «게시»가 되고 위치 · 사진이 보인다</t>
        </is>
      </c>
      <c r="G8" s="29" t="n"/>
      <c r="H8" s="7" t="n"/>
      <c r="I8" s="7" t="n"/>
    </row>
    <row r="9" ht="66" customHeight="1">
      <c r="A9" s="28" t="n">
        <v>6</v>
      </c>
      <c r="B9" s="3" t="inlineStr">
        <is>
          <t>QA박안전3(재난안전과) → QA하정수3(담당 공무원)</t>
        </is>
      </c>
      <c r="C9" s="30" t="inlineStr">
        <is>
          <t>안전보건관리체계 &gt; 경영방침</t>
        </is>
      </c>
      <c r="D9" s="17" t="inlineStr">
        <is>
          <t>QA박안전3 창과 QA하정수3 창의 [확인 등록] 비교</t>
        </is>
      </c>
      <c r="E9" s="3" t="inlineStr">
        <is>
          <t>① QA박안전3 창에서 [게시 현황] 탭의 부서 줄들을 본다(누르지 않는다)
② QA하정수3 창에서 같은 탭을 본다</t>
        </is>
      </c>
      <c r="F9" s="3" t="inlineStr">
        <is>
          <t>QA박안전3 창에는 모든 부서 줄에 [확인 등록]이 있다. QA하정수3 창에는 내 부서 줄에만 있고 다른 부서 줄은 «조회»다. 5번에서 등록한 게시가 두 창에 모두 보인다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조직</t>
        </is>
      </c>
    </row>
    <row r="2" ht="24" customHeight="1">
      <c r="A2" s="26" t="inlineStr">
        <is>
          <t>🗂 QA박안전3 창에서 합니다. 선임 칸과 수행평가 · 후속조치는 군 전체에 하나뿐이라 열어 보기만 하고, 공사는 내 이름을 붙여 새로 만들어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7</v>
      </c>
      <c r="B4" s="3" t="inlineStr">
        <is>
          <t>QA박안전3(재난안전과)</t>
        </is>
      </c>
      <c r="C4" s="3" t="inlineStr">
        <is>
          <t>안전보건관리체계 &gt; 조직</t>
        </is>
      </c>
      <c r="D4" s="17" t="inlineStr">
        <is>
          <t>화면 열기</t>
        </is>
      </c>
      <c r="E4" s="3" t="inlineStr">
        <is>
          <t>메뉴로 들어간다</t>
        </is>
      </c>
      <c r="F4" s="3" t="inlineStr">
        <is>
          <t>조직도 현황 · 선임 현황 · 법정 배치인원 자동 점검 · 공사별 안전관리자 선임 현황 · 수행평가 · 후속조치가 뜬다</t>
        </is>
      </c>
      <c r="G4" s="29" t="n"/>
      <c r="H4" s="7" t="n"/>
      <c r="I4" s="7" t="n"/>
    </row>
    <row r="5" ht="96" customHeight="1">
      <c r="A5" s="28" t="n">
        <v>8</v>
      </c>
      <c r="B5" s="30" t="inlineStr">
        <is>
          <t>QA박안전3(재난안전과)</t>
        </is>
      </c>
      <c r="C5" s="30" t="inlineStr">
        <is>
          <t>안전보건관리체계 &gt; 조직</t>
        </is>
      </c>
      <c r="D5" s="17" t="inlineStr">
        <is>
          <t>선임 등록 — 빈 칸은 막힌다</t>
        </is>
      </c>
      <c r="E5" s="3" t="inlineStr">
        <is>
          <t>① 선임 현황 표에서 «미선임» 줄의 [선임 등록]
② 빈 채로 [등록]
③ 구분만 고르고 [등록]
④ [취소] (끝까지 등록하지 마세요 — 군 전체에 하나뿐인 선임 칸입니다)</t>
        </is>
      </c>
      <c r="F5" s="3" t="inlineStr">
        <is>
          <t>«구분을 고르세요.» → «조직도에서 대상자를 고르세요.»가 뜨고 저장되지 않는다. «미선임» 줄이 없으면 «확인 불가»</t>
        </is>
      </c>
      <c r="G5" s="29" t="n"/>
      <c r="H5" s="7" t="n"/>
      <c r="I5" s="7" t="n"/>
    </row>
    <row r="6" ht="111" customHeight="1">
      <c r="A6" s="28" t="n">
        <v>9</v>
      </c>
      <c r="B6" s="30" t="inlineStr">
        <is>
          <t>QA박안전3(재난안전과)</t>
        </is>
      </c>
      <c r="C6" s="30" t="inlineStr">
        <is>
          <t>안전보건관리체계 &gt; 조직</t>
        </is>
      </c>
      <c r="D6" s="17" t="inlineStr">
        <is>
          <t>공사 등록 · 수정</t>
        </is>
      </c>
      <c r="E6" s="3" t="inlineStr">
        <is>
          <t>① [+ 공사 직접 등록]
② 빈 채로 [저장]
③ 공사명 «박성수_보수공사»를 적고 종료일을 비운 채 [저장]
④ 종료일(오늘부터 한 달 뒤)을 넣고 [저장]
⑤ 내 공사 줄의 [수정] → 공사금액 «1억 원»을 넣고 [저장]</t>
        </is>
      </c>
      <c r="F6" s="3" t="inlineStr">
        <is>
          <t>차례로 «공사명을 입력하세요.» «공사기간을 확인하세요.»로 막힌다. 저장하면 «공사를 직접 등록했습니다.»와 함께 목록에 내 공사가 생기고, 수정하면 «공사 현황을 수정했습니다.»와 함께 금액이 바뀐다</t>
        </is>
      </c>
      <c r="G6" s="29" t="n"/>
      <c r="H6" s="7" t="n"/>
      <c r="I6" s="7" t="n"/>
    </row>
    <row r="7" ht="81" customHeight="1">
      <c r="A7" s="28" t="n">
        <v>10</v>
      </c>
      <c r="B7" s="30" t="inlineStr">
        <is>
          <t>QA박안전3(재난안전과)</t>
        </is>
      </c>
      <c r="C7" s="30" t="inlineStr">
        <is>
          <t>안전보건관리체계 &gt; 조직</t>
        </is>
      </c>
      <c r="D7" s="17" t="inlineStr">
        <is>
          <t>수행평가 · 후속조치 양식</t>
        </is>
      </c>
      <c r="E7" s="3" t="inlineStr">
        <is>
          <t>① [수행평가 작성] → 양식을 보고 창을 닫는다
② [후속조치 등록] → 양식을 보고 창을 닫는다 (둘 다 저장하지 마세요 — 군 전체에 하나뿐인 반기 문서입니다)</t>
        </is>
      </c>
      <c r="F7" s="3" t="inlineStr">
        <is>
          <t>평가서(평가일 · 평가 대상 · 평가 항목 · 종합 의견)와 조치보고(조치 내용 · 조치 기한 등) 창이 열리고 지금 상태(작성중 · 등록완료 등)가 보인다. 닫으면 아무것도 바뀌지 않는다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이행점검</t>
        </is>
      </c>
    </row>
    <row r="2" ht="24" customHeight="1">
      <c r="A2" s="26" t="inlineStr">
        <is>
          <t>🗂 주로 QA박안전3 창에서 합니다. 부서 줄은 내 부서(공공시설사업소) 줄만 고치고, 반기 점검표와 반기 마감은 군 전체에 하나뿐이라 저장 · 상신하지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QA박안전3(재난안전과)</t>
        </is>
      </c>
      <c r="C4" s="3" t="inlineStr">
        <is>
          <t>안전보건관리체계 &gt; 이행점검</t>
        </is>
      </c>
      <c r="D4" s="17" t="inlineStr">
        <is>
          <t>화면과 탭</t>
        </is>
      </c>
      <c r="E4" s="3" t="inlineStr">
        <is>
          <t>[중대산업재해 이행점검] ↔ [중대시민재해 이행점검] 탭을 오간다</t>
        </is>
      </c>
      <c r="F4" s="3" t="inlineStr">
        <is>
          <t>탭마다 부서별 이행 현황 표가 뜬다. 표에 없는 부서가 있으면 위에 «부서 명단 N / 39개 등록» 안내가 있다(모두 있으면 안내가 없는 것이 정상)</t>
        </is>
      </c>
      <c r="G4" s="29" t="n"/>
      <c r="H4" s="7" t="n"/>
      <c r="I4" s="7" t="n"/>
    </row>
    <row r="5" ht="81" customHeight="1">
      <c r="A5" s="28" t="n">
        <v>12</v>
      </c>
      <c r="B5" s="30" t="inlineStr">
        <is>
          <t>QA박안전3(재난안전과)</t>
        </is>
      </c>
      <c r="C5" s="30" t="inlineStr">
        <is>
          <t>안전보건관리체계 &gt; 이행점검</t>
        </is>
      </c>
      <c r="D5" s="17" t="inlineStr">
        <is>
          <t>미이행 부서 독촉</t>
        </is>
      </c>
      <c r="E5" s="3" t="inlineStr">
        <is>
          <t>① 점검 회차가 지금 반기인지 본다
② 내 부서(공공시설사업소) 줄이 «이행»이면 회차를 다른 반기로 바꾼다
③ 내 부서 줄의 [독촉]
④ 회차를 지금 반기로 되돌린다</t>
        </is>
      </c>
      <c r="F5" s="3" t="inlineStr">
        <is>
          <t>«공공시설사업소 담당자에게 독촉 알림을 발송했습니다»가 뜬다. «이행» 줄에는 [독촉]이 없다</t>
        </is>
      </c>
      <c r="G5" s="29" t="n"/>
      <c r="H5" s="7" t="n"/>
      <c r="I5" s="7" t="n"/>
    </row>
    <row r="6" ht="126" customHeight="1">
      <c r="A6" s="28" t="n">
        <v>13</v>
      </c>
      <c r="B6" s="30" t="inlineStr">
        <is>
          <t>QA박안전3(재난안전과)</t>
        </is>
      </c>
      <c r="C6" s="30" t="inlineStr">
        <is>
          <t>안전보건관리체계 &gt; 이행점검</t>
        </is>
      </c>
      <c r="D6" s="17" t="inlineStr">
        <is>
          <t>부서 확인 등록 규칙</t>
        </is>
      </c>
      <c r="E6" s="3" t="inlineStr">
        <is>
          <t>① 점검 회차가 지금 반기인지 본다
② [중대산업재해 이행점검] 탭에서 내 부서 줄의 [확인 등록]
③ «해당없음»을 고르고 사유 없이 [저장]
④ «이행»을 고르고 증빙 없이 [저장]
⑤ 증빙 파일을 올리고 [저장]
⑥ 점검 결과·비고 «박성수_점검 완료»를 적고 [저장]</t>
        </is>
      </c>
      <c r="F6" s="3" t="inlineStr">
        <is>
          <t>차례로 «해당없음 사유를 적으세요 — 사유 없이 빠질 수 없습니다.» «이행으로 등록하려면 증빙 사진·문서가 필요합니다.» «점검 결과·비고를 입력하세요.»로 막힌다. 다 채우면 «공공시설사업소 이행 등록»이 뜨고 표에 반영된다</t>
        </is>
      </c>
      <c r="G6" s="29" t="n"/>
      <c r="H6" s="7" t="n"/>
      <c r="I6" s="7" t="n"/>
    </row>
    <row r="7" ht="96" customHeight="1">
      <c r="A7" s="28" t="n">
        <v>14</v>
      </c>
      <c r="B7" s="3" t="inlineStr">
        <is>
          <t>QA하정수3(담당 공무원)</t>
        </is>
      </c>
      <c r="C7" s="30" t="inlineStr">
        <is>
          <t>안전보건관리체계 &gt; 이행점검</t>
        </is>
      </c>
      <c r="D7" s="17" t="inlineStr">
        <is>
          <t>담당 공무원은 내 부서 줄만</t>
        </is>
      </c>
      <c r="E7" s="3" t="inlineStr">
        <is>
          <t>① QA하정수3 창에서 점검 회차가 지금 반기인지 본다
② [중대시민재해 이행점검] 탭
③ 내 부서 줄의 [확인 등록] → «이행», 증빙 파일, 점검 결과·비고를 넣고 [저장]
④ 다른 부서 줄을 본다</t>
        </is>
      </c>
      <c r="F7" s="3" t="inlineStr">
        <is>
          <t>지금 반기의 내 부서 줄이 «이행»으로 바뀐다. 다른 부서 줄에는 [확인 등록] · [독촉]이 없고 «조회»만 보인다</t>
        </is>
      </c>
      <c r="G7" s="29" t="n"/>
      <c r="H7" s="7" t="n"/>
      <c r="I7" s="7" t="n"/>
    </row>
    <row r="8" ht="66" customHeight="1">
      <c r="A8" s="28" t="n">
        <v>15</v>
      </c>
      <c r="B8" s="3" t="inlineStr">
        <is>
          <t>QA박안전3(재난안전과)</t>
        </is>
      </c>
      <c r="C8" s="30" t="inlineStr">
        <is>
          <t>안전보건관리체계 &gt; 이행점검</t>
        </is>
      </c>
      <c r="D8" s="17" t="inlineStr">
        <is>
          <t>반기 점검표 양식</t>
        </is>
      </c>
      <c r="E8" s="3" t="inlineStr">
        <is>
          <t>① 안전보건관리체계 점검 (반기)의 [점검표 작성]
② 양식을 보고 창을 닫는다 (저장하지 마세요 — 군 전체에 하나뿐인 문서입니다)</t>
        </is>
      </c>
      <c r="F8" s="3" t="inlineStr">
        <is>
          <t>점검일 · 점검자 · 점검 항목(O · X · 해당없음) · 증빙 첨부가 있는 점검표 창이 열린다. 닫으면 제목 옆 상태가 그대로다</t>
        </is>
      </c>
      <c r="G8" s="29" t="n"/>
      <c r="H8" s="7" t="n"/>
      <c r="I8" s="7" t="n"/>
    </row>
    <row r="9" ht="111" customHeight="1">
      <c r="A9" s="28" t="n">
        <v>16</v>
      </c>
      <c r="B9" s="30" t="inlineStr">
        <is>
          <t>QA박안전3(재난안전과)</t>
        </is>
      </c>
      <c r="C9" s="30" t="inlineStr">
        <is>
          <t>안전보건관리체계 &gt; 이행점검</t>
        </is>
      </c>
      <c r="D9" s="17" t="inlineStr">
        <is>
          <t>반기 마감 상신 창</t>
        </is>
      </c>
      <c r="E9" s="3" t="inlineStr">
        <is>
          <t>① 점검 회차를 다른 반기로 바꾼다(«마감 보고 상신됨»이 보이면 또 다른 반기로)
② [반기 마감 · 온나라 상신]
③ [＋ 검토]로 빈 칸을 만들고 [상신]
④ [취소] (상신하지 마세요 — 반기마다 군 전체에 한 번뿐입니다)
⑤ 회차를 지금 반기로 되돌린다</t>
        </is>
      </c>
      <c r="F9" s="3" t="inlineStr">
        <is>
          <t>창 제목의 반기가 고른 반기와 같다. 빈 칸이 있으면 «지정하지 않은 단계가 N건 있습니다 — 조직도에서 결재자를 고르세요.»로 막힌다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QA박안전3(재난안전과)</t>
        </is>
      </c>
      <c r="C10" s="30" t="inlineStr">
        <is>
          <t>안전보건관리체계 &gt; 이행점검</t>
        </is>
      </c>
      <c r="D10" s="17" t="inlineStr">
        <is>
          <t>관계 법령 목록 안내</t>
        </is>
      </c>
      <c r="E10" s="3" t="inlineStr">
        <is>
          <t>[관계 법령 목록이란]</t>
        </is>
      </c>
      <c r="F10" s="3" t="inlineStr">
        <is>
          <t>«관계 법령 목록 — 외부 준비 안내» 창이 뜨고, 목록이 아직 없다는 것과 담양군이 정해야 할 것(적용 법령 · 점검 항목 · 점검 주체 · 위탁 여부)을 알려 준다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도급관리</t>
        </is>
      </c>
    </row>
    <row r="2" ht="24" customHeight="1">
      <c r="A2" s="26" t="inlineStr">
        <is>
          <t>🗂 QA박안전3 창에서 합니다. 사업명 · 수급업체 앞에 내 이름을 붙이고, 점검표 · 서약서 · 평가는 내가 만든 사업 · 업체에만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18</v>
      </c>
      <c r="B4" s="3" t="inlineStr">
        <is>
          <t>QA박안전3(재난안전과)</t>
        </is>
      </c>
      <c r="C4" s="3" t="inlineStr">
        <is>
          <t>안전보건관리체계 &gt; 도급관리</t>
        </is>
      </c>
      <c r="D4" s="17" t="inlineStr">
        <is>
          <t>화면 열기</t>
        </is>
      </c>
      <c r="E4" s="3" t="inlineStr">
        <is>
          <t>메뉴로 들어간다</t>
        </is>
      </c>
      <c r="F4" s="3" t="inlineStr">
        <is>
          <t>요약(등록 사업 · 수급업체 · 점검표 미작성 · 수급인 미평가), 사업 목록, 수급인 안전보건 수준 평가가 뜬다</t>
        </is>
      </c>
      <c r="G4" s="29" t="n"/>
      <c r="H4" s="7" t="n"/>
      <c r="I4" s="7" t="n"/>
    </row>
    <row r="5" ht="126" customHeight="1">
      <c r="A5" s="28" t="n">
        <v>19</v>
      </c>
      <c r="B5" s="30" t="inlineStr">
        <is>
          <t>QA박안전3(재난안전과)</t>
        </is>
      </c>
      <c r="C5" s="30" t="inlineStr">
        <is>
          <t>안전보건관리체계 &gt; 도급관리</t>
        </is>
      </c>
      <c r="D5" s="17" t="inlineStr">
        <is>
          <t>사업 등록</t>
        </is>
      </c>
      <c r="E5" s="3" t="inlineStr">
        <is>
          <t>① [+ 사업 등록]
② 빈 채로 [등록]
③ 사업명 «박성수_청사 청소 용역», 구분 «용역», 수급업체 «박성수_업체», 계약기간(오늘 ~ 6개월 뒤)을 넣고 [등록]</t>
        </is>
      </c>
      <c r="F5" s="3" t="inlineStr">
        <is>
          <t>빈 채로는 «사업명을 입력하세요.» 등록하면 «사업을 등록했습니다 — 수급인 안전보건 수준 평가를 진행하세요»가 뜨고, 목록에 내 사업(«직접 등록»)이, 수급인 평가 표에 «박성수_업체»가 생긴다. 같은 이름으로 이미 등록했다면 «같은 사업이 이미 등록되어 있습니다» 창이 뜬다 — [취소]하고 사업명 끝에 _2 를 붙여 다시 등록한다</t>
        </is>
      </c>
      <c r="G5" s="29" t="n"/>
      <c r="H5" s="7" t="n"/>
      <c r="I5" s="7" t="n"/>
    </row>
    <row r="6" ht="96" customHeight="1">
      <c r="A6" s="28" t="n">
        <v>20</v>
      </c>
      <c r="B6" s="30" t="inlineStr">
        <is>
          <t>QA박안전3(재난안전과)</t>
        </is>
      </c>
      <c r="C6" s="30" t="inlineStr">
        <is>
          <t>안전보건관리체계 &gt; 도급관리</t>
        </is>
      </c>
      <c r="D6" s="17" t="inlineStr">
        <is>
          <t>점검표 임시저장 → 등록</t>
        </is>
      </c>
      <c r="E6" s="3" t="inlineStr">
        <is>
          <t>① 내 사업 줄의 [점검표 작성]
② 첫 점검 항목의 [O]를 누르고 비고에 «박성수_확인»을 적은 뒤 [임시저장]
③ 다시 [점검표 작성]을 연다
④ [등록] ([확정 · 온나라 결재 상신]은 누르지 마세요)</t>
        </is>
      </c>
      <c r="F6" s="3" t="inlineStr">
        <is>
          <t>«임시저장되었습니다 — 작성중 상태로 유지»가 뜨고, 다시 열면 O와 비고가 그대로다. 등록하면 «등록되었습니다 — 확정 전까지 수정 가능»이 뜨고 내 사업명 옆 상태가 «등록완료»</t>
        </is>
      </c>
      <c r="G6" s="29" t="n"/>
      <c r="H6" s="7" t="n"/>
      <c r="I6" s="7" t="n"/>
    </row>
    <row r="7" ht="96" customHeight="1">
      <c r="A7" s="28" t="n">
        <v>21</v>
      </c>
      <c r="B7" s="30" t="inlineStr">
        <is>
          <t>QA박안전3(재난안전과)</t>
        </is>
      </c>
      <c r="C7" s="30" t="inlineStr">
        <is>
          <t>안전보건관리체계 &gt; 도급관리</t>
        </is>
      </c>
      <c r="D7" s="17" t="inlineStr">
        <is>
          <t>서약서 · 수급인 평가</t>
        </is>
      </c>
      <c r="E7" s="3" t="inlineStr">
        <is>
          <t>① 내 사업 줄의 서약서 [첨부] → 파일 칸을 눌러 본다 → [업로드]
② 수급인 평가 표에서 «박성수_업체» 줄의 [평가 작성]
③ 평가 대상 «박성수_업체»와 종합 의견을 적고 [등록]</t>
        </is>
      </c>
      <c r="F7" s="3" t="inlineStr">
        <is>
          <t>파일 칸은 «파일 선택은 문서관리 연계 후 제공됩니다»가 뜨고(정상), [업로드]하면 «서약서가 첨부되었습니다». 평가는 «등록되었습니다 — 확정 전까지 수정 가능»이 뜨고 내 업체 상태가 «등록완료»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안전보건관리체계</t>
        </is>
      </c>
    </row>
    <row r="3">
      <c r="A3" t="inlineStr">
        <is>
          <t>담당자</t>
        </is>
      </c>
      <c r="B3" t="inlineStr">
        <is>
          <t>박성수</t>
        </is>
      </c>
    </row>
    <row r="4">
      <c r="A4" t="inlineStr">
        <is>
          <t>파일 코드</t>
        </is>
      </c>
      <c r="B4" t="inlineStr">
        <is>
          <t>SB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