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의견청취·건의함" sheetId="3" state="visible" r:id="rId3"/>
    <sheet xmlns:r="http://schemas.openxmlformats.org/officeDocument/2006/relationships" name="산업안전보건위원회" sheetId="4" state="visible" r:id="rId4"/>
    <sheet xmlns:r="http://schemas.openxmlformats.org/officeDocument/2006/relationships" name="협의체·점검표" sheetId="5" state="visible" r:id="rId5"/>
    <sheet xmlns:r="http://schemas.openxmlformats.org/officeDocument/2006/relationships" name="_정보" sheetId="6" state="hidden" r:id="rId6"/>
  </sheets>
  <definedNames>
    <definedName name="_xlnm._FilterDatabase" localSheetId="2" hidden="1">'의견청취·건의함'!$A$3:$I$7</definedName>
    <definedName name="_xlnm.Print_Titles" localSheetId="2">'의견청취·건의함'!$3:$3</definedName>
    <definedName name="_xlnm._FilterDatabase" localSheetId="3" hidden="1">'산업안전보건위원회'!$A$3:$I$6</definedName>
    <definedName name="_xlnm.Print_Titles" localSheetId="3">'산업안전보건위원회'!$3:$3</definedName>
    <definedName name="_xlnm._FilterDatabase" localSheetId="4" hidden="1">'협의체·점검표'!$A$3:$I$7</definedName>
    <definedName name="_xlnm.Print_Titles" localSheetId="4">'협의체·점검표'!$3:$3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i val="1"/>
      <color rgb="007F7F7F"/>
      <sz val="10.5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의견청취 · 윤한빛</t>
        </is>
      </c>
    </row>
    <row r="3" ht="22" customHeight="1">
      <c r="A3" s="2" t="inlineStr">
        <is>
          <t>메뉴</t>
        </is>
      </c>
      <c r="B3" s="3" t="inlineStr">
        <is>
          <t>의견청취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윤한빛</t>
        </is>
      </c>
      <c r="C4" s="4" t="n"/>
      <c r="D4" s="4" t="n"/>
      <c r="E4" s="4" t="n"/>
      <c r="F4" s="4" t="n"/>
      <c r="G4" s="4" t="n"/>
      <c r="H4" s="5" t="n"/>
    </row>
    <row r="5" ht="36" customHeight="1">
      <c r="A5" s="2" t="inlineStr">
        <is>
          <t>이 파일</t>
        </is>
      </c>
      <c r="B5" s="3" t="inlineStr">
        <is>
          <t>의견청취·건의함 · 산업안전보건위원회 · 협의체·점검표를 봅니다. 이 메뉴는 아직 역할 구분이 없어 버튼이 누구에게나 보이는 것이 정상입니다(상신만은 담당자만).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줄 수</t>
        </is>
      </c>
      <c r="B6" s="3" t="inlineStr">
        <is>
          <t>11줄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시트</t>
        </is>
      </c>
      <c r="B7" s="3" t="inlineStr">
        <is>
          <t>의견청취·건의함 → 산업안전보건위원회 → 협의체·점검표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테스트 주소</t>
        </is>
      </c>
      <c r="B8" s="6" t="inlineStr">
        <is>
          <t>(배포 주소를 받으면 채웁니다)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브라우저</t>
        </is>
      </c>
      <c r="B9" s="7" t="n"/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기기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시작한 날</t>
        </is>
      </c>
      <c r="B11" s="8" t="n"/>
      <c r="C11" s="4" t="n"/>
      <c r="D11" s="4" t="n"/>
      <c r="E11" s="4" t="n"/>
      <c r="F11" s="4" t="n"/>
      <c r="G11" s="4" t="n"/>
      <c r="H11" s="5" t="n"/>
    </row>
    <row r="13" ht="24" customHeight="1">
      <c r="A13" s="9" t="inlineStr">
        <is>
          <t>이렇게 하면 됩니다</t>
        </is>
      </c>
    </row>
    <row r="14" ht="21" customHeight="1">
      <c r="A14" s="10" t="inlineStr">
        <is>
          <t>① 브라우저로 위 «테스트 주소»를 엽니다. 시트마다 맨 위에 «새 탭에서 시작» 또는 «같은 탭에서 이어서»가 적혀 있습니다.</t>
        </is>
      </c>
    </row>
    <row r="15" ht="21" customHeight="1">
      <c r="A15" s="10" t="inlineStr">
        <is>
          <t>② 화면 오른쪽 위 이름을 눌러 «누구로» 칸의 사람으로 바꿉니다.</t>
        </is>
      </c>
    </row>
    <row r="16" ht="21" customHeight="1">
      <c r="A16" s="10" t="inlineStr">
        <is>
          <t>③ «어디서» 메뉴로 가서 «해 볼 것»대로 눌러 봅니다.</t>
        </is>
      </c>
    </row>
    <row r="17" ht="21" customHeight="1">
      <c r="A17" s="10" t="inlineStr">
        <is>
          <t>④ «이러면 성공»과 같으면 «결과» 칸에서 성공을, 다르면 실패·오류 등을 고릅니다.</t>
        </is>
      </c>
    </row>
    <row r="18" ht="21" customHeight="1">
      <c r="A18" s="10" t="inlineStr">
        <is>
          <t>⑤ 실패·오류·문의면 «메모»에 한 줄 적고, 필요하면 «사진» 칸에 화면 캡처를 붙여넣습니다.</t>
        </is>
      </c>
    </row>
    <row r="20" ht="24" customHeight="1">
      <c r="A20" s="9" t="inlineStr">
        <is>
          <t>결과 고르는 법</t>
        </is>
      </c>
    </row>
    <row r="21" ht="22" customHeight="1">
      <c r="A21" s="2" t="inlineStr">
        <is>
          <t>결과</t>
        </is>
      </c>
      <c r="B21" s="2" t="inlineStr">
        <is>
          <t>이럴 때 고르세요</t>
        </is>
      </c>
      <c r="C21" s="4" t="n"/>
      <c r="D21" s="4" t="n"/>
      <c r="E21" s="4" t="n"/>
      <c r="F21" s="4" t="n"/>
      <c r="G21" s="4" t="n"/>
      <c r="H21" s="5" t="n"/>
    </row>
    <row r="22" ht="22" customHeight="1">
      <c r="A22" s="11" t="inlineStr">
        <is>
          <t>성공</t>
        </is>
      </c>
      <c r="B22" s="3" t="inlineStr">
        <is>
          <t>«이러면 성공»대로 된다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2" t="inlineStr">
        <is>
          <t>실패</t>
        </is>
      </c>
      <c r="B23" s="3" t="inlineStr">
        <is>
          <t>되긴 하는데 설명과 다르다 — 막혀야 하는데 저장된다, 문구·숫자가 틀리다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3" t="inlineStr">
        <is>
          <t>오류</t>
        </is>
      </c>
      <c r="B24" s="3" t="inlineStr">
        <is>
          <t>화면이 멈추거나 깨진다, 눌러도 아무 일이 없다, 오류 창이 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4" t="inlineStr">
        <is>
          <t>보류</t>
        </is>
      </c>
      <c r="B25" s="3" t="inlineStr">
        <is>
          <t>앞 단계가 안 돼서 지금은 못 한다 — 메모에 이유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5" t="inlineStr">
        <is>
          <t>확인 불가</t>
        </is>
      </c>
      <c r="B26" s="3" t="inlineStr">
        <is>
          <t>이 환경에서는 볼 수 없다 — 예: 확인할 데이터가 없다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6" t="inlineStr">
        <is>
          <t>문의</t>
        </is>
      </c>
      <c r="B27" s="3" t="inlineStr">
        <is>
          <t>맞는지 헷갈린다 — 메모에 궁금한 점</t>
        </is>
      </c>
      <c r="C27" s="4" t="n"/>
      <c r="D27" s="4" t="n"/>
      <c r="E27" s="4" t="n"/>
      <c r="F27" s="4" t="n"/>
      <c r="G27" s="4" t="n"/>
      <c r="H27" s="5" t="n"/>
    </row>
    <row r="29" ht="24" customHeight="1">
      <c r="A29" s="9" t="inlineStr">
        <is>
          <t>사진 붙이는 법</t>
        </is>
      </c>
    </row>
    <row r="30" ht="21" customHeight="1">
      <c r="A30" s="10" t="inlineStr">
        <is>
          <t>• 윈도우: Win + Shift + S → 영역 선택 → 엑셀에서 그 줄의 «사진» 칸을 누르고 Ctrl + V</t>
        </is>
      </c>
    </row>
    <row r="31" ht="21" customHeight="1">
      <c r="A31" s="10" t="inlineStr">
        <is>
          <t>• 맥: Cmd + Ctrl + Shift + 4 → 영역 선택 → 엑셀에서 그 줄의 «사진» 칸을 누르고 Cmd + V</t>
        </is>
      </c>
    </row>
    <row r="32" ht="21" customHeight="1">
      <c r="A32" s="10" t="inlineStr">
        <is>
          <t>• 사진이 크면 모서리를 끌어 줄이세요. 사진은 그 줄 «사진» 칸 위에 두면 됩니다 — 취합할 때 줄 번호로 찾습니다.</t>
        </is>
      </c>
    </row>
    <row r="33" ht="21" customHeight="1">
      <c r="A33" s="10" t="inlineStr">
        <is>
          <t>• 사진은 떠 있는 그대로 두세요(«셀에 배치»로 넣으면 취합할 때 꺼내지 못합니다).</t>
        </is>
      </c>
    </row>
    <row r="35" ht="24" customHeight="1">
      <c r="A35" s="9" t="inlineStr">
        <is>
          <t>누구로 — 계정 바꾸는 법</t>
        </is>
      </c>
    </row>
    <row r="36" ht="21" customHeight="1">
      <c r="A36" s="10" t="inlineStr">
        <is>
          <t>• 화면 오른쪽 위 이름을 누르면 사람 목록이 나옵니다. «누구로» 칸의 이름을 누르면 바뀝니다.</t>
        </is>
      </c>
    </row>
    <row r="37" ht="22" customHeight="1">
      <c r="A37" s="2" t="inlineStr">
        <is>
          <t>이름</t>
        </is>
      </c>
      <c r="B37" s="2" t="inlineStr">
        <is>
          <t>누구</t>
        </is>
      </c>
      <c r="C37" s="4" t="n"/>
      <c r="D37" s="5" t="n"/>
      <c r="E37" s="2" t="inlineStr">
        <is>
          <t>주로 하는 것</t>
        </is>
      </c>
      <c r="F37" s="4" t="n"/>
      <c r="G37" s="4" t="n"/>
      <c r="H37" s="5" t="n"/>
    </row>
    <row r="38" ht="22" customHeight="1">
      <c r="A38" s="17" t="inlineStr">
        <is>
          <t>박안전</t>
        </is>
      </c>
      <c r="B38" s="3" t="inlineStr">
        <is>
          <t>재난안전과 담당자</t>
        </is>
      </c>
      <c r="C38" s="4" t="n"/>
      <c r="D38" s="5" t="n"/>
      <c r="E38" s="3" t="inlineStr">
        <is>
          <t>대부분 이 계정 — 등록·확인·공문</t>
        </is>
      </c>
      <c r="F38" s="4" t="n"/>
      <c r="G38" s="4" t="n"/>
      <c r="H38" s="5" t="n"/>
    </row>
    <row r="39" ht="22" customHeight="1">
      <c r="A39" s="17" t="inlineStr">
        <is>
          <t>하정수</t>
        </is>
      </c>
      <c r="B39" s="3" t="inlineStr">
        <is>
          <t>물순환사업소 담당자</t>
        </is>
      </c>
      <c r="C39" s="4" t="n"/>
      <c r="D39" s="5" t="n"/>
      <c r="E39" s="3" t="inlineStr">
        <is>
          <t>자기 부서 일만 한다</t>
        </is>
      </c>
      <c r="F39" s="4" t="n"/>
      <c r="G39" s="4" t="n"/>
      <c r="H39" s="5" t="n"/>
    </row>
    <row r="40" ht="22" customHeight="1">
      <c r="A40" s="17" t="inlineStr">
        <is>
          <t>정환경</t>
        </is>
      </c>
      <c r="B40" s="3" t="inlineStr">
        <is>
          <t>환경과 담당자</t>
        </is>
      </c>
      <c r="C40" s="4" t="n"/>
      <c r="D40" s="5" t="n"/>
      <c r="E40" s="3" t="inlineStr">
        <is>
          <t>남의 부서 것을 못 건드리는지 볼 때</t>
        </is>
      </c>
      <c r="F40" s="4" t="n"/>
      <c r="G40" s="4" t="n"/>
      <c r="H40" s="5" t="n"/>
    </row>
    <row r="41" ht="22" customHeight="1">
      <c r="A41" s="17" t="inlineStr">
        <is>
          <t>오순환</t>
        </is>
      </c>
      <c r="B41" s="3" t="inlineStr">
        <is>
          <t>물순환사업소장</t>
        </is>
      </c>
      <c r="C41" s="4" t="n"/>
      <c r="D41" s="5" t="n"/>
      <c r="E41" s="3" t="inlineStr">
        <is>
          <t>자기 부서를 보고 재촉한다</t>
        </is>
      </c>
      <c r="F41" s="4" t="n"/>
      <c r="G41" s="4" t="n"/>
      <c r="H41" s="5" t="n"/>
    </row>
    <row r="42" ht="22" customHeight="1">
      <c r="A42" s="17" t="inlineStr">
        <is>
          <t>김중대</t>
        </is>
      </c>
      <c r="B42" s="3" t="inlineStr">
        <is>
          <t>중대재해팀장</t>
        </is>
      </c>
      <c r="C42" s="4" t="n"/>
      <c r="D42" s="5" t="n"/>
      <c r="E42" s="3" t="inlineStr">
        <is>
          <t>공문 결재선(검토)을 볼 때</t>
        </is>
      </c>
      <c r="F42" s="4" t="n"/>
      <c r="G42" s="4" t="n"/>
      <c r="H42" s="5" t="n"/>
    </row>
    <row r="43" ht="22" customHeight="1">
      <c r="A43" s="17" t="inlineStr">
        <is>
          <t>홍길동</t>
        </is>
      </c>
      <c r="B43" s="3" t="inlineStr">
        <is>
          <t>재난안전과장</t>
        </is>
      </c>
      <c r="C43" s="4" t="n"/>
      <c r="D43" s="5" t="n"/>
      <c r="E43" s="3" t="inlineStr">
        <is>
          <t>보기만 한다 — 등록 버튼이 없는 게 정상</t>
        </is>
      </c>
      <c r="F43" s="4" t="n"/>
      <c r="G43" s="4" t="n"/>
      <c r="H43" s="5" t="n"/>
    </row>
    <row r="44" ht="22" customHeight="1">
      <c r="A44" s="17" t="inlineStr">
        <is>
          <t>김담양</t>
        </is>
      </c>
      <c r="B44" s="3" t="inlineStr">
        <is>
          <t>군수</t>
        </is>
      </c>
      <c r="C44" s="4" t="n"/>
      <c r="D44" s="5" t="n"/>
      <c r="E44" s="3" t="inlineStr">
        <is>
          <t>보기만 한다</t>
        </is>
      </c>
      <c r="F44" s="4" t="n"/>
      <c r="G44" s="4" t="n"/>
      <c r="H44" s="5" t="n"/>
    </row>
    <row r="46" ht="24" customHeight="1">
      <c r="A46" s="9" t="inlineStr">
        <is>
          <t>알아 두면 좋은 것 (결함이 아닙니다)</t>
        </is>
      </c>
    </row>
    <row r="47" ht="21" customHeight="1">
      <c r="A47" s="10" t="inlineStr">
        <is>
          <t>• 오늘 날짜가 2026-07-16 으로 고정돼 있습니다. 기한·D-day는 이 날 기준입니다.</t>
        </is>
      </c>
    </row>
    <row r="48" ht="21" customHeight="1">
      <c r="A48" s="10" t="inlineStr">
        <is>
          <t>• 입력한 데이터는 그 브라우저 탭에만 남습니다. 새 탭을 열면 처음 상태로 돌아갑니다(새로고침은 괜찮습니다).</t>
        </is>
      </c>
    </row>
    <row r="49" ht="21" customHeight="1">
      <c r="A49" s="10" t="inlineStr">
        <is>
          <t>• 파일 첨부는 파일 이름만 남습니다. 실제 파일을 열거나 받을 수는 없습니다.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과장·군수에게 등록·수정 버튼이 없는 것, 결재 승인·반려 버튼이 없는 것(결재는 온나라에서 합니다)은 정상입니다.</t>
        </is>
      </c>
    </row>
    <row r="52" ht="21" customHeight="1">
      <c r="A52" s="10" t="inlineStr">
        <is>
          <t>• 2025년 자료는 실제 문서이고, 2026년 자료는 «예시 자료»입니다.</t>
        </is>
      </c>
    </row>
    <row r="53" ht="21" customHeight="1">
      <c r="A53" s="10" t="inlineStr">
        <is>
          <t>• ---</t>
        </is>
      </c>
    </row>
  </sheetData>
  <mergeCells count="50">
    <mergeCell ref="B42:D42"/>
    <mergeCell ref="A48:H48"/>
    <mergeCell ref="A30:H30"/>
    <mergeCell ref="B9:H9"/>
    <mergeCell ref="A15:H15"/>
    <mergeCell ref="A51:H51"/>
    <mergeCell ref="B6:H6"/>
    <mergeCell ref="B24:H24"/>
    <mergeCell ref="A36:H36"/>
    <mergeCell ref="A49:H49"/>
    <mergeCell ref="B44:D44"/>
    <mergeCell ref="A1:H1"/>
    <mergeCell ref="E41:H41"/>
    <mergeCell ref="B5:H5"/>
    <mergeCell ref="B38:D38"/>
    <mergeCell ref="E37:H37"/>
    <mergeCell ref="B37:D37"/>
    <mergeCell ref="B26:H26"/>
    <mergeCell ref="B4:H4"/>
    <mergeCell ref="A16:H16"/>
    <mergeCell ref="E43:H43"/>
    <mergeCell ref="B40:D40"/>
    <mergeCell ref="B7:H7"/>
    <mergeCell ref="B25:H25"/>
    <mergeCell ref="B3:H3"/>
    <mergeCell ref="E42:H42"/>
    <mergeCell ref="A18:H18"/>
    <mergeCell ref="B22:H22"/>
    <mergeCell ref="A50:H50"/>
    <mergeCell ref="E39:H39"/>
    <mergeCell ref="B27:H27"/>
    <mergeCell ref="B41:D41"/>
    <mergeCell ref="B21:H21"/>
    <mergeCell ref="E38:H38"/>
    <mergeCell ref="E44:H44"/>
    <mergeCell ref="A33:H33"/>
    <mergeCell ref="A14:H14"/>
    <mergeCell ref="A47:H47"/>
    <mergeCell ref="B11:H11"/>
    <mergeCell ref="A32:H32"/>
    <mergeCell ref="B23:H23"/>
    <mergeCell ref="A17:H17"/>
    <mergeCell ref="B8:H8"/>
    <mergeCell ref="E40:H40"/>
    <mergeCell ref="A53:H53"/>
    <mergeCell ref="A52:H52"/>
    <mergeCell ref="B10:H10"/>
    <mergeCell ref="B43:D43"/>
    <mergeCell ref="B39:D39"/>
    <mergeCell ref="A31:H31"/>
  </mergeCells>
  <dataValidations count="2">
    <dataValidation sqref="B9" showDropDown="0" showInputMessage="0" showErrorMessage="0" allowBlank="1" type="list">
      <formula1>"크롬,엣지,웨일,사파리,파이어폭스,기타"</formula1>
    </dataValidation>
    <dataValidation sqref="B10" showDropDown="0" showInputMessage="0" showErrorMessage="0" allowBlank="1" type="list">
      <formula1>"윈도우 PC,맥,태블릿,휴대폰"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의견청취 · 윤한빛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의견청취·건의함</t>
        </is>
      </c>
      <c r="B5" s="21">
        <f>COUNTA('의견청취·건의함'!$A$4:$A$7)</f>
        <v>4</v>
      </c>
      <c r="C5" s="21">
        <f>COUNTIF('의견청취·건의함'!$G$4:$G$7,"성공")</f>
        <v>0</v>
      </c>
      <c r="D5" s="21">
        <f>COUNTIF('의견청취·건의함'!$G$4:$G$7,"실패")</f>
        <v>0</v>
      </c>
      <c r="E5" s="21">
        <f>COUNTIF('의견청취·건의함'!$G$4:$G$7,"오류")</f>
        <v>0</v>
      </c>
      <c r="F5" s="21">
        <f>COUNTIF('의견청취·건의함'!$G$4:$G$7,"보류")</f>
        <v>0</v>
      </c>
      <c r="G5" s="21">
        <f>COUNTIF('의견청취·건의함'!$G$4:$G$7,"확인 불가")</f>
        <v>0</v>
      </c>
      <c r="H5" s="21">
        <f>COUNTIF('의견청취·건의함'!$G$4:$G$7,"문의")</f>
        <v>0</v>
      </c>
      <c r="I5" s="21">
        <f>COUNTBLANK('의견청취·건의함'!$G$4:$G$7)</f>
        <v>4</v>
      </c>
      <c r="J5" s="22">
        <f>IF(B5=0,0,(B5-I5)/B5)</f>
        <v>0</v>
      </c>
    </row>
    <row r="6" ht="22" customHeight="1">
      <c r="A6" s="20" t="inlineStr">
        <is>
          <t>산업안전보건위원회</t>
        </is>
      </c>
      <c r="B6" s="21">
        <f>COUNTA('산업안전보건위원회'!$A$4:$A$6)</f>
        <v>3</v>
      </c>
      <c r="C6" s="21">
        <f>COUNTIF('산업안전보건위원회'!$G$4:$G$6,"성공")</f>
        <v>0</v>
      </c>
      <c r="D6" s="21">
        <f>COUNTIF('산업안전보건위원회'!$G$4:$G$6,"실패")</f>
        <v>0</v>
      </c>
      <c r="E6" s="21">
        <f>COUNTIF('산업안전보건위원회'!$G$4:$G$6,"오류")</f>
        <v>0</v>
      </c>
      <c r="F6" s="21">
        <f>COUNTIF('산업안전보건위원회'!$G$4:$G$6,"보류")</f>
        <v>0</v>
      </c>
      <c r="G6" s="21">
        <f>COUNTIF('산업안전보건위원회'!$G$4:$G$6,"확인 불가")</f>
        <v>0</v>
      </c>
      <c r="H6" s="21">
        <f>COUNTIF('산업안전보건위원회'!$G$4:$G$6,"문의")</f>
        <v>0</v>
      </c>
      <c r="I6" s="21">
        <f>COUNTBLANK('산업안전보건위원회'!$G$4:$G$6)</f>
        <v>3</v>
      </c>
      <c r="J6" s="22">
        <f>IF(B6=0,0,(B6-I6)/B6)</f>
        <v>0</v>
      </c>
    </row>
    <row r="7" ht="22" customHeight="1">
      <c r="A7" s="20" t="inlineStr">
        <is>
          <t>협의체·점검표</t>
        </is>
      </c>
      <c r="B7" s="21">
        <f>COUNTA('협의체·점검표'!$A$4:$A$7)</f>
        <v>4</v>
      </c>
      <c r="C7" s="21">
        <f>COUNTIF('협의체·점검표'!$G$4:$G$7,"성공")</f>
        <v>0</v>
      </c>
      <c r="D7" s="21">
        <f>COUNTIF('협의체·점검표'!$G$4:$G$7,"실패")</f>
        <v>0</v>
      </c>
      <c r="E7" s="21">
        <f>COUNTIF('협의체·점검표'!$G$4:$G$7,"오류")</f>
        <v>0</v>
      </c>
      <c r="F7" s="21">
        <f>COUNTIF('협의체·점검표'!$G$4:$G$7,"보류")</f>
        <v>0</v>
      </c>
      <c r="G7" s="21">
        <f>COUNTIF('협의체·점검표'!$G$4:$G$7,"확인 불가")</f>
        <v>0</v>
      </c>
      <c r="H7" s="21">
        <f>COUNTIF('협의체·점검표'!$G$4:$G$7,"문의")</f>
        <v>0</v>
      </c>
      <c r="I7" s="21">
        <f>COUNTBLANK('협의체·점검표'!$G$4:$G$7)</f>
        <v>4</v>
      </c>
      <c r="J7" s="22">
        <f>IF(B7=0,0,(B7-I7)/B7)</f>
        <v>0</v>
      </c>
    </row>
    <row r="8" ht="24" customHeight="1">
      <c r="A8" s="23" t="inlineStr">
        <is>
          <t>합계</t>
        </is>
      </c>
      <c r="B8" s="24">
        <f>SUM(B5:B7)</f>
        <v>11</v>
      </c>
      <c r="C8" s="24">
        <f>SUM(C5:C7)</f>
        <v>0</v>
      </c>
      <c r="D8" s="24">
        <f>SUM(D5:D7)</f>
        <v>0</v>
      </c>
      <c r="E8" s="24">
        <f>SUM(E5:E7)</f>
        <v>0</v>
      </c>
      <c r="F8" s="24">
        <f>SUM(F5:F7)</f>
        <v>0</v>
      </c>
      <c r="G8" s="24">
        <f>SUM(G5:G7)</f>
        <v>0</v>
      </c>
      <c r="H8" s="24">
        <f>SUM(H5:H7)</f>
        <v>0</v>
      </c>
      <c r="I8" s="24">
        <f>SUM(I5:I7)</f>
        <v>11</v>
      </c>
      <c r="J8" s="25">
        <f>IF(B8=0,0,(B8-I8)/B8)</f>
        <v>0</v>
      </c>
    </row>
  </sheetData>
  <mergeCells count="2">
    <mergeCell ref="A1:J1"/>
    <mergeCell ref="A2:J2"/>
  </mergeCells>
  <conditionalFormatting sqref="J5:J8">
    <cfRule type="dataBar" priority="1">
      <dataBar showValue="1">
        <cfvo type="num" val="0"/>
        <cfvo type="num" val="1"/>
        <color rgb="0063BE7B"/>
      </dataBar>
    </cfRule>
  </conditionalFormatting>
  <conditionalFormatting sqref="D5:D8">
    <cfRule type="cellIs" priority="2" operator="greaterThan" dxfId="0">
      <formula>0</formula>
    </cfRule>
  </conditionalFormatting>
  <conditionalFormatting sqref="E5:E8">
    <cfRule type="cellIs" priority="3" operator="greaterThan" dxfId="0">
      <formula>0</formula>
    </cfRule>
  </conditionalFormatting>
  <conditionalFormatting sqref="H5:H8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의견청취 — 의견청취·건의함</t>
        </is>
      </c>
    </row>
    <row r="2" ht="24" customHeight="1">
      <c r="A2" s="26" t="inlineStr">
        <is>
          <t>🗂 새 탭에서 시작하세요.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박안전</t>
        </is>
      </c>
      <c r="C4" s="3" t="inlineStr">
        <is>
          <t>의견청취 &gt; 의견청취·건의함</t>
        </is>
      </c>
      <c r="D4" s="17" t="inlineStr">
        <is>
          <t>화면과 상태 칩</t>
        </is>
      </c>
      <c r="E4" s="3" t="inlineStr">
        <is>
          <t>상태 칩(전체 · 접수대기 · 점검중 · 개선조치중 · 완료) → 검색 → 쪽 넘기기</t>
        </is>
      </c>
      <c r="F4" s="3" t="inlineStr">
        <is>
          <t>칩 숫자와 줄 수가 맞고 검색·쪽 넘기기가 된다</t>
        </is>
      </c>
      <c r="G4" s="29" t="n"/>
      <c r="H4" s="7" t="n"/>
      <c r="I4" s="7" t="n"/>
    </row>
    <row r="5" ht="36" customHeight="1">
      <c r="A5" s="28" t="n">
        <v>2</v>
      </c>
      <c r="B5" s="30" t="inlineStr">
        <is>
          <t>박안전</t>
        </is>
      </c>
      <c r="C5" s="30" t="inlineStr">
        <is>
          <t>의견청취 &gt; 의견청취·건의함</t>
        </is>
      </c>
      <c r="D5" s="17" t="inlineStr">
        <is>
          <t>의견 등록</t>
        </is>
      </c>
      <c r="E5" s="3" t="inlineStr">
        <is>
          <t>[+ 의견 등록] → 빈 칸으로 저장 → 채워서 저장</t>
        </is>
      </c>
      <c r="F5" s="3" t="inlineStr">
        <is>
          <t>빈 칸이면 무엇을 채울지 알려 주고, 저장하면 맨 앞에 «접수대기»로 생긴다</t>
        </is>
      </c>
      <c r="G5" s="29" t="n"/>
      <c r="H5" s="7" t="n"/>
      <c r="I5" s="7" t="n"/>
    </row>
    <row r="6" ht="36" customHeight="1">
      <c r="A6" s="28" t="n">
        <v>3</v>
      </c>
      <c r="B6" s="30" t="inlineStr">
        <is>
          <t>박안전</t>
        </is>
      </c>
      <c r="C6" s="30" t="inlineStr">
        <is>
          <t>의견청취 &gt; 의견청취·건의함</t>
        </is>
      </c>
      <c r="D6" s="17" t="inlineStr">
        <is>
          <t>상세와 처리</t>
        </is>
      </c>
      <c r="E6" s="3" t="inlineStr">
        <is>
          <t>줄을 누른다 → 상태를 바꾼다</t>
        </is>
      </c>
      <c r="F6" s="3" t="inlineStr">
        <is>
          <t>목록과 상세 내용이 같고, 상태를 바꾸면 칩 숫자도 바뀐다</t>
        </is>
      </c>
      <c r="G6" s="29" t="n"/>
      <c r="H6" s="7" t="n"/>
      <c r="I6" s="7" t="n"/>
    </row>
    <row r="7" ht="36" customHeight="1">
      <c r="A7" s="28" t="n">
        <v>4</v>
      </c>
      <c r="B7" s="30" t="inlineStr">
        <is>
          <t>박안전</t>
        </is>
      </c>
      <c r="C7" s="30" t="inlineStr">
        <is>
          <t>의견청취 &gt; 의견청취·건의함</t>
        </is>
      </c>
      <c r="D7" s="17" t="inlineStr">
        <is>
          <t>점검결과지 상신</t>
        </is>
      </c>
      <c r="E7" s="3" t="inlineStr">
        <is>
          <t>점검결과지 상신 → 결재선 → 상신</t>
        </is>
      </c>
      <c r="F7" s="3" t="inlineStr">
        <is>
          <t>결재선 창을 거쳐 상신되고 «결재중»으로 남는다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의견청취 — 산업안전보건위원회</t>
        </is>
      </c>
    </row>
    <row r="2" ht="24" customHeight="1">
      <c r="A2" s="26" t="inlineStr">
        <is>
          <t>🗂 어느 탭에서 해도 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5</v>
      </c>
      <c r="B4" s="3" t="inlineStr">
        <is>
          <t>박안전</t>
        </is>
      </c>
      <c r="C4" s="3" t="inlineStr">
        <is>
          <t>의견청취 &gt; 산업안전보건위원회</t>
        </is>
      </c>
      <c r="D4" s="17" t="inlineStr">
        <is>
          <t>화면과 탭</t>
        </is>
      </c>
      <c r="E4" s="3" t="inlineStr">
        <is>
          <t>[위원 구성] · [안건 부서이행] · [회의록] 탭을 누른다</t>
        </is>
      </c>
      <c r="F4" s="3" t="inlineStr">
        <is>
          <t>세 탭이 뜬다</t>
        </is>
      </c>
      <c r="G4" s="29" t="n"/>
      <c r="H4" s="7" t="n"/>
      <c r="I4" s="7" t="n"/>
    </row>
    <row r="5" ht="51" customHeight="1">
      <c r="A5" s="28" t="n">
        <v>6</v>
      </c>
      <c r="B5" s="30" t="inlineStr">
        <is>
          <t>박안전</t>
        </is>
      </c>
      <c r="C5" s="30" t="inlineStr">
        <is>
          <t>의견청취 &gt; 산업안전보건위원회</t>
        </is>
      </c>
      <c r="D5" s="17" t="inlineStr">
        <is>
          <t>위원 추가·수정·삭제</t>
        </is>
      </c>
      <c r="E5" s="3" t="inlineStr">
        <is>
          <t>[+ 위원 추가] → 안 고르고 [저장] → 조직도로 골라 저장 → [수정] → [삭제]</t>
        </is>
      </c>
      <c r="F5" s="3" t="inlineStr">
        <is>
          <t>안 고르면 «조직도에서 위원을 선택하세요». 저장·수정이 반영되고, 삭제 전에 한 번 묻는다(바로 지워지면 실패)</t>
        </is>
      </c>
      <c r="G5" s="29" t="n"/>
      <c r="H5" s="7" t="n"/>
      <c r="I5" s="7" t="n"/>
    </row>
    <row r="6" ht="36" customHeight="1">
      <c r="A6" s="28" t="n">
        <v>7</v>
      </c>
      <c r="B6" s="30" t="inlineStr">
        <is>
          <t>박안전</t>
        </is>
      </c>
      <c r="C6" s="30" t="inlineStr">
        <is>
          <t>의견청취 &gt; 산업안전보건위원회</t>
        </is>
      </c>
      <c r="D6" s="17" t="inlineStr">
        <is>
          <t>안건·회의록</t>
        </is>
      </c>
      <c r="E6" s="3" t="inlineStr">
        <is>
          <t>[안건 부서이행] · [회의록]에서 하나씩 등록해 본다</t>
        </is>
      </c>
      <c r="F6" s="3" t="inlineStr">
        <is>
          <t>등록하면 목록에 반영되고 빈 칸이면 막힌다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의견청취 — 협의체·점검표</t>
        </is>
      </c>
    </row>
    <row r="2" ht="24" customHeight="1">
      <c r="A2" s="26" t="inlineStr">
        <is>
          <t>🗂 어느 탭에서 해도 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4" customHeight="1">
      <c r="A4" s="28" t="n">
        <v>8</v>
      </c>
      <c r="B4" s="3" t="inlineStr">
        <is>
          <t>박안전</t>
        </is>
      </c>
      <c r="C4" s="3" t="inlineStr">
        <is>
          <t>의견청취 &gt; 협의체·점검표</t>
        </is>
      </c>
      <c r="D4" s="17" t="inlineStr">
        <is>
          <t>화면과 탭</t>
        </is>
      </c>
      <c r="E4" s="3" t="inlineStr">
        <is>
          <t>[협의체 운영] ↔ [점검표]</t>
        </is>
      </c>
      <c r="F4" s="3" t="inlineStr">
        <is>
          <t>두 탭이 뜬다</t>
        </is>
      </c>
      <c r="G4" s="29" t="n"/>
      <c r="H4" s="7" t="n"/>
      <c r="I4" s="7" t="n"/>
    </row>
    <row r="5" ht="36" customHeight="1">
      <c r="A5" s="28" t="n">
        <v>9</v>
      </c>
      <c r="B5" s="30" t="inlineStr">
        <is>
          <t>박안전</t>
        </is>
      </c>
      <c r="C5" s="30" t="inlineStr">
        <is>
          <t>의견청취 &gt; 협의체·점검표</t>
        </is>
      </c>
      <c r="D5" s="17" t="inlineStr">
        <is>
          <t>운영 주기 바꾸기</t>
        </is>
      </c>
      <c r="E5" s="3" t="inlineStr">
        <is>
          <t>[주기 변경] → 값을 바꿔 [저장]</t>
        </is>
      </c>
      <c r="F5" s="3" t="inlineStr">
        <is>
          <t>«운영 주기가 변경되었습니다» 후 화면 표시가 바뀐다</t>
        </is>
      </c>
      <c r="G5" s="29" t="n"/>
      <c r="H5" s="7" t="n"/>
      <c r="I5" s="7" t="n"/>
    </row>
    <row r="6" ht="36" customHeight="1">
      <c r="A6" s="28" t="n">
        <v>10</v>
      </c>
      <c r="B6" s="30" t="inlineStr">
        <is>
          <t>박안전</t>
        </is>
      </c>
      <c r="C6" s="30" t="inlineStr">
        <is>
          <t>의견청취 &gt; 협의체·점검표</t>
        </is>
      </c>
      <c r="D6" s="17" t="inlineStr">
        <is>
          <t>운영 결과 등록</t>
        </is>
      </c>
      <c r="E6" s="3" t="inlineStr">
        <is>
          <t>[+ 운영 결과 등록] → 빈 채로 [저장] → 채워서 저장 → [수정] → [삭제]</t>
        </is>
      </c>
      <c r="F6" s="3" t="inlineStr">
        <is>
          <t>빈 채로는 «회차를 입력하세요». 저장·수정이 반영되고 삭제 전에 묻는다</t>
        </is>
      </c>
      <c r="G6" s="29" t="n"/>
      <c r="H6" s="7" t="n"/>
      <c r="I6" s="7" t="n"/>
    </row>
    <row r="7" ht="34" customHeight="1">
      <c r="A7" s="28" t="n">
        <v>11</v>
      </c>
      <c r="B7" s="30" t="inlineStr">
        <is>
          <t>박안전</t>
        </is>
      </c>
      <c r="C7" s="30" t="inlineStr">
        <is>
          <t>의견청취 &gt; 협의체·점검표</t>
        </is>
      </c>
      <c r="D7" s="17" t="inlineStr">
        <is>
          <t>협의체 위원 추가</t>
        </is>
      </c>
      <c r="E7" s="3" t="inlineStr">
        <is>
          <t>[+ 위원 추가] → 조직도에서 골라 저장</t>
        </is>
      </c>
      <c r="F7" s="3" t="inlineStr">
        <is>
          <t>목록에 반영된다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의견청취</t>
        </is>
      </c>
    </row>
    <row r="3">
      <c r="A3" t="inlineStr">
        <is>
          <t>담당자</t>
        </is>
      </c>
      <c r="B3" t="inlineStr">
        <is>
          <t>윤한빛</t>
        </is>
      </c>
    </row>
    <row r="4">
      <c r="A4" t="inlineStr">
        <is>
          <t>파일 코드</t>
        </is>
      </c>
      <c r="B4" t="inlineStr">
        <is>
          <t>OP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2026-09-28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2026-09-28T08:54:00Z</dcterms:created>
  <dcterms:modified xmlns:dcterms="http://purl.org/dc/terms/" xmlns:xsi="http://www.w3.org/2001/XMLSchema-instance" xsi:type="dcterms:W3CDTF">2026-09-28T08:54:00Z</dcterms:modified>
</cp:coreProperties>
</file>