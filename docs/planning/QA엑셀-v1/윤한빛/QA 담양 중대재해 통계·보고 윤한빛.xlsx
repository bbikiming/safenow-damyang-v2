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현황 통계" sheetId="3" state="visible" r:id="rId3"/>
    <sheet xmlns:r="http://schemas.openxmlformats.org/officeDocument/2006/relationships" name="보고서·제증명" sheetId="4" state="visible" r:id="rId4"/>
    <sheet xmlns:r="http://schemas.openxmlformats.org/officeDocument/2006/relationships" name="정보센터" sheetId="5" state="visible" r:id="rId5"/>
    <sheet xmlns:r="http://schemas.openxmlformats.org/officeDocument/2006/relationships" name="_정보" sheetId="6" state="hidden" r:id="rId6"/>
  </sheets>
  <definedNames>
    <definedName name="_xlnm._FilterDatabase" localSheetId="2" hidden="1">'현황 통계'!$A$3:$I$6</definedName>
    <definedName name="_xlnm.Print_Titles" localSheetId="2">'현황 통계'!$3:$3</definedName>
    <definedName name="_xlnm._FilterDatabase" localSheetId="3" hidden="1">'보고서·제증명'!$A$3:$I$7</definedName>
    <definedName name="_xlnm.Print_Titles" localSheetId="3">'보고서·제증명'!$3:$3</definedName>
    <definedName name="_xlnm._FilterDatabase" localSheetId="4" hidden="1">'정보센터'!$A$3:$I$4</definedName>
    <definedName name="_xlnm.Print_Titles" localSheetId="4">'정보센터'!$3:$3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4">
    <font>
      <name val="Calibri"/>
      <family val="2"/>
      <color theme="1"/>
      <sz val="11"/>
      <scheme val="minor"/>
    </font>
    <font>
      <name val="맑은 고딕"/>
      <b val="1"/>
      <sz val="15"/>
    </font>
    <font>
      <name val="맑은 고딕"/>
      <b val="1"/>
      <sz val="10.5"/>
    </font>
    <font>
      <name val="맑은 고딕"/>
      <sz val="10.5"/>
    </font>
    <font>
      <name val="맑은 고딕"/>
      <i val="1"/>
      <color rgb="007F7F7F"/>
      <sz val="10.5"/>
    </font>
    <font>
      <name val="맑은 고딕"/>
      <b val="1"/>
      <color rgb="001F4E79"/>
      <sz val="12"/>
    </font>
    <font>
      <name val="맑은 고딕"/>
      <b val="1"/>
      <color rgb="00006100"/>
      <sz val="10.5"/>
    </font>
    <font>
      <name val="맑은 고딕"/>
      <b val="1"/>
      <color rgb="009C0006"/>
      <sz val="10.5"/>
    </font>
    <font>
      <name val="맑은 고딕"/>
      <b val="1"/>
      <color rgb="00833C0B"/>
      <sz val="10.5"/>
    </font>
    <font>
      <name val="맑은 고딕"/>
      <b val="1"/>
      <color rgb="007F6000"/>
      <sz val="10.5"/>
    </font>
    <font>
      <name val="맑은 고딕"/>
      <b val="1"/>
      <color rgb="003A3A3A"/>
      <sz val="10.5"/>
    </font>
    <font>
      <name val="맑은 고딕"/>
      <b val="1"/>
      <color rgb="001F4E79"/>
      <sz val="10.5"/>
    </font>
    <font>
      <name val="맑은 고딕"/>
      <b val="1"/>
      <color rgb="00FFFFFF"/>
      <sz val="10.5"/>
    </font>
    <font>
      <name val="맑은 고딕"/>
      <color rgb="00A6A6A6"/>
      <sz val="10.5"/>
    </font>
  </fonts>
  <fills count="12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8CBAD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1F4E79"/>
      </patternFill>
    </fill>
    <fill>
      <patternFill patternType="solid">
        <fgColor rgb="00C55A11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0" fontId="5" fillId="0" borderId="0" pivotButton="0" quotePrefix="0" xfId="0"/>
    <xf numFmtId="0" fontId="3" fillId="0" borderId="0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4" fillId="0" borderId="0" pivotButton="0" quotePrefix="0" xfId="0"/>
    <xf numFmtId="0" fontId="12" fillId="1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9" fontId="2" fillId="2" borderId="1" applyAlignment="1" pivotButton="0" quotePrefix="0" xfId="0">
      <alignment horizontal="center" vertical="center"/>
    </xf>
    <xf numFmtId="0" fontId="11" fillId="9" borderId="0" applyAlignment="1" pivotButton="0" quotePrefix="0" xfId="0">
      <alignment vertical="top" wrapText="1"/>
    </xf>
    <xf numFmtId="0" fontId="12" fillId="11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vertical="top" wrapText="1"/>
    </xf>
  </cellXfs>
  <cellStyles count="1">
    <cellStyle name="Normal" xfId="0" builtinId="0" hidden="0"/>
  </cellStyles>
  <dxfs count="8">
    <dxf>
      <font>
        <name val="맑은 고딕"/>
        <b val="1"/>
        <color rgb="00C00000"/>
        <sz val="10.5"/>
      </font>
    </dxf>
    <dxf>
      <font>
        <name val="맑은 고딕"/>
        <b val="1"/>
        <color rgb="00006100"/>
        <sz val="10.5"/>
      </font>
      <fill>
        <patternFill patternType="solid">
          <fgColor rgb="00C6EFCE"/>
        </patternFill>
      </fill>
    </dxf>
    <dxf>
      <font>
        <name val="맑은 고딕"/>
        <b val="1"/>
        <color rgb="009C0006"/>
        <sz val="10.5"/>
      </font>
      <fill>
        <patternFill patternType="solid">
          <fgColor rgb="00FFC7CE"/>
        </patternFill>
      </fill>
    </dxf>
    <dxf>
      <font>
        <name val="맑은 고딕"/>
        <b val="1"/>
        <color rgb="00833C0B"/>
        <sz val="10.5"/>
      </font>
      <fill>
        <patternFill patternType="solid">
          <fgColor rgb="00F8CBAD"/>
        </patternFill>
      </fill>
    </dxf>
    <dxf>
      <font>
        <name val="맑은 고딕"/>
        <b val="1"/>
        <color rgb="007F6000"/>
        <sz val="10.5"/>
      </font>
      <fill>
        <patternFill patternType="solid">
          <fgColor rgb="00FFEB9C"/>
        </patternFill>
      </fill>
    </dxf>
    <dxf>
      <font>
        <name val="맑은 고딕"/>
        <b val="1"/>
        <color rgb="003A3A3A"/>
        <sz val="10.5"/>
      </font>
      <fill>
        <patternFill patternType="solid">
          <fgColor rgb="00D9D9D9"/>
        </patternFill>
      </fill>
    </dxf>
    <dxf>
      <font>
        <name val="맑은 고딕"/>
        <b val="1"/>
        <color rgb="001F4E79"/>
        <sz val="10.5"/>
      </font>
      <fill>
        <patternFill patternType="solid">
          <fgColor rgb="00DDEBF7"/>
        </patternFill>
      </fill>
    </dxf>
    <dxf>
      <fill>
        <patternFill patternType="solid">
          <fgColor rgb="00FF9E9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95959"/>
    <outlinePr summaryBelow="1" summaryRight="1"/>
    <pageSetUpPr/>
  </sheetPr>
  <dimension ref="A1:H5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0" customHeight="1">
      <c r="A1" s="1" t="inlineStr">
        <is>
          <t>QA 담양 중대재해 — 통계·보고 · 윤한빛</t>
        </is>
      </c>
    </row>
    <row r="3" ht="22" customHeight="1">
      <c r="A3" s="2" t="inlineStr">
        <is>
          <t>메뉴</t>
        </is>
      </c>
      <c r="B3" s="3" t="inlineStr">
        <is>
          <t>통계·보고 (훑어보는 파일)</t>
        </is>
      </c>
      <c r="C3" s="4" t="n"/>
      <c r="D3" s="4" t="n"/>
      <c r="E3" s="4" t="n"/>
      <c r="F3" s="4" t="n"/>
      <c r="G3" s="4" t="n"/>
      <c r="H3" s="5" t="n"/>
    </row>
    <row r="4" ht="22" customHeight="1">
      <c r="A4" s="2" t="inlineStr">
        <is>
          <t>담당자</t>
        </is>
      </c>
      <c r="B4" s="3" t="inlineStr">
        <is>
          <t>윤한빛</t>
        </is>
      </c>
      <c r="C4" s="4" t="n"/>
      <c r="D4" s="4" t="n"/>
      <c r="E4" s="4" t="n"/>
      <c r="F4" s="4" t="n"/>
      <c r="G4" s="4" t="n"/>
      <c r="H4" s="5" t="n"/>
    </row>
    <row r="5" ht="22" customHeight="1">
      <c r="A5" s="2" t="inlineStr">
        <is>
          <t>이 파일</t>
        </is>
      </c>
      <c r="B5" s="3" t="inlineStr">
        <is>
          <t>현황 통계 · 보고서·제증명 · 정보센터를 봅니다. 내려받기·출력은 아직 연계 전이라 안내가 뜨는 것이 정상입니다.</t>
        </is>
      </c>
      <c r="C5" s="4" t="n"/>
      <c r="D5" s="4" t="n"/>
      <c r="E5" s="4" t="n"/>
      <c r="F5" s="4" t="n"/>
      <c r="G5" s="4" t="n"/>
      <c r="H5" s="5" t="n"/>
    </row>
    <row r="6" ht="22" customHeight="1">
      <c r="A6" s="2" t="inlineStr">
        <is>
          <t>줄 수</t>
        </is>
      </c>
      <c r="B6" s="3" t="inlineStr">
        <is>
          <t>8줄</t>
        </is>
      </c>
      <c r="C6" s="4" t="n"/>
      <c r="D6" s="4" t="n"/>
      <c r="E6" s="4" t="n"/>
      <c r="F6" s="4" t="n"/>
      <c r="G6" s="4" t="n"/>
      <c r="H6" s="5" t="n"/>
    </row>
    <row r="7" ht="22" customHeight="1">
      <c r="A7" s="2" t="inlineStr">
        <is>
          <t>시트</t>
        </is>
      </c>
      <c r="B7" s="3" t="inlineStr">
        <is>
          <t>현황 통계 → 보고서·제증명 → 정보센터</t>
        </is>
      </c>
      <c r="C7" s="4" t="n"/>
      <c r="D7" s="4" t="n"/>
      <c r="E7" s="4" t="n"/>
      <c r="F7" s="4" t="n"/>
      <c r="G7" s="4" t="n"/>
      <c r="H7" s="5" t="n"/>
    </row>
    <row r="8" ht="22" customHeight="1">
      <c r="A8" s="2" t="inlineStr">
        <is>
          <t>테스트 주소</t>
        </is>
      </c>
      <c r="B8" s="6" t="inlineStr">
        <is>
          <t>(배포 주소를 받으면 채웁니다)</t>
        </is>
      </c>
      <c r="C8" s="4" t="n"/>
      <c r="D8" s="4" t="n"/>
      <c r="E8" s="4" t="n"/>
      <c r="F8" s="4" t="n"/>
      <c r="G8" s="4" t="n"/>
      <c r="H8" s="5" t="n"/>
    </row>
    <row r="9" ht="22" customHeight="1">
      <c r="A9" s="2" t="inlineStr">
        <is>
          <t>브라우저</t>
        </is>
      </c>
      <c r="B9" s="7" t="n"/>
      <c r="C9" s="4" t="n"/>
      <c r="D9" s="4" t="n"/>
      <c r="E9" s="4" t="n"/>
      <c r="F9" s="4" t="n"/>
      <c r="G9" s="4" t="n"/>
      <c r="H9" s="5" t="n"/>
    </row>
    <row r="10" ht="22" customHeight="1">
      <c r="A10" s="2" t="inlineStr">
        <is>
          <t>기기</t>
        </is>
      </c>
      <c r="B10" s="7" t="n"/>
      <c r="C10" s="4" t="n"/>
      <c r="D10" s="4" t="n"/>
      <c r="E10" s="4" t="n"/>
      <c r="F10" s="4" t="n"/>
      <c r="G10" s="4" t="n"/>
      <c r="H10" s="5" t="n"/>
    </row>
    <row r="11" ht="22" customHeight="1">
      <c r="A11" s="2" t="inlineStr">
        <is>
          <t>시작한 날</t>
        </is>
      </c>
      <c r="B11" s="8" t="n"/>
      <c r="C11" s="4" t="n"/>
      <c r="D11" s="4" t="n"/>
      <c r="E11" s="4" t="n"/>
      <c r="F11" s="4" t="n"/>
      <c r="G11" s="4" t="n"/>
      <c r="H11" s="5" t="n"/>
    </row>
    <row r="13" ht="24" customHeight="1">
      <c r="A13" s="9" t="inlineStr">
        <is>
          <t>이렇게 하면 됩니다</t>
        </is>
      </c>
    </row>
    <row r="14" ht="21" customHeight="1">
      <c r="A14" s="10" t="inlineStr">
        <is>
          <t>① 브라우저로 위 «테스트 주소»를 엽니다. 시트마다 맨 위에 «새 탭에서 시작» 또는 «같은 탭에서 이어서»가 적혀 있습니다.</t>
        </is>
      </c>
    </row>
    <row r="15" ht="21" customHeight="1">
      <c r="A15" s="10" t="inlineStr">
        <is>
          <t>② 화면 오른쪽 위 이름을 눌러 «누구로» 칸의 사람으로 바꿉니다.</t>
        </is>
      </c>
    </row>
    <row r="16" ht="21" customHeight="1">
      <c r="A16" s="10" t="inlineStr">
        <is>
          <t>③ «어디서» 메뉴로 가서 «해 볼 것»대로 눌러 봅니다.</t>
        </is>
      </c>
    </row>
    <row r="17" ht="21" customHeight="1">
      <c r="A17" s="10" t="inlineStr">
        <is>
          <t>④ «이러면 성공»과 같으면 «결과» 칸에서 성공을, 다르면 실패·오류 등을 고릅니다.</t>
        </is>
      </c>
    </row>
    <row r="18" ht="21" customHeight="1">
      <c r="A18" s="10" t="inlineStr">
        <is>
          <t>⑤ 실패·오류·문의면 «메모»에 한 줄 적고, 필요하면 «사진» 칸에 화면 캡처를 붙여넣습니다.</t>
        </is>
      </c>
    </row>
    <row r="20" ht="24" customHeight="1">
      <c r="A20" s="9" t="inlineStr">
        <is>
          <t>결과 고르는 법</t>
        </is>
      </c>
    </row>
    <row r="21" ht="22" customHeight="1">
      <c r="A21" s="2" t="inlineStr">
        <is>
          <t>결과</t>
        </is>
      </c>
      <c r="B21" s="2" t="inlineStr">
        <is>
          <t>이럴 때 고르세요</t>
        </is>
      </c>
      <c r="C21" s="4" t="n"/>
      <c r="D21" s="4" t="n"/>
      <c r="E21" s="4" t="n"/>
      <c r="F21" s="4" t="n"/>
      <c r="G21" s="4" t="n"/>
      <c r="H21" s="5" t="n"/>
    </row>
    <row r="22" ht="22" customHeight="1">
      <c r="A22" s="11" t="inlineStr">
        <is>
          <t>성공</t>
        </is>
      </c>
      <c r="B22" s="3" t="inlineStr">
        <is>
          <t>«이러면 성공»대로 된다</t>
        </is>
      </c>
      <c r="C22" s="4" t="n"/>
      <c r="D22" s="4" t="n"/>
      <c r="E22" s="4" t="n"/>
      <c r="F22" s="4" t="n"/>
      <c r="G22" s="4" t="n"/>
      <c r="H22" s="5" t="n"/>
    </row>
    <row r="23" ht="22" customHeight="1">
      <c r="A23" s="12" t="inlineStr">
        <is>
          <t>실패</t>
        </is>
      </c>
      <c r="B23" s="3" t="inlineStr">
        <is>
          <t>되긴 하는데 설명과 다르다 — 막혀야 하는데 저장된다, 문구·숫자가 틀리다</t>
        </is>
      </c>
      <c r="C23" s="4" t="n"/>
      <c r="D23" s="4" t="n"/>
      <c r="E23" s="4" t="n"/>
      <c r="F23" s="4" t="n"/>
      <c r="G23" s="4" t="n"/>
      <c r="H23" s="5" t="n"/>
    </row>
    <row r="24" ht="22" customHeight="1">
      <c r="A24" s="13" t="inlineStr">
        <is>
          <t>오류</t>
        </is>
      </c>
      <c r="B24" s="3" t="inlineStr">
        <is>
          <t>화면이 멈추거나 깨진다, 눌러도 아무 일이 없다, 오류 창이 뜬다</t>
        </is>
      </c>
      <c r="C24" s="4" t="n"/>
      <c r="D24" s="4" t="n"/>
      <c r="E24" s="4" t="n"/>
      <c r="F24" s="4" t="n"/>
      <c r="G24" s="4" t="n"/>
      <c r="H24" s="5" t="n"/>
    </row>
    <row r="25" ht="22" customHeight="1">
      <c r="A25" s="14" t="inlineStr">
        <is>
          <t>보류</t>
        </is>
      </c>
      <c r="B25" s="3" t="inlineStr">
        <is>
          <t>앞 단계가 안 돼서 지금은 못 한다 — 메모에 이유</t>
        </is>
      </c>
      <c r="C25" s="4" t="n"/>
      <c r="D25" s="4" t="n"/>
      <c r="E25" s="4" t="n"/>
      <c r="F25" s="4" t="n"/>
      <c r="G25" s="4" t="n"/>
      <c r="H25" s="5" t="n"/>
    </row>
    <row r="26" ht="22" customHeight="1">
      <c r="A26" s="15" t="inlineStr">
        <is>
          <t>확인 불가</t>
        </is>
      </c>
      <c r="B26" s="3" t="inlineStr">
        <is>
          <t>이 환경에서는 볼 수 없다 — 예: 확인할 데이터가 없다</t>
        </is>
      </c>
      <c r="C26" s="4" t="n"/>
      <c r="D26" s="4" t="n"/>
      <c r="E26" s="4" t="n"/>
      <c r="F26" s="4" t="n"/>
      <c r="G26" s="4" t="n"/>
      <c r="H26" s="5" t="n"/>
    </row>
    <row r="27" ht="22" customHeight="1">
      <c r="A27" s="16" t="inlineStr">
        <is>
          <t>문의</t>
        </is>
      </c>
      <c r="B27" s="3" t="inlineStr">
        <is>
          <t>맞는지 헷갈린다 — 메모에 궁금한 점</t>
        </is>
      </c>
      <c r="C27" s="4" t="n"/>
      <c r="D27" s="4" t="n"/>
      <c r="E27" s="4" t="n"/>
      <c r="F27" s="4" t="n"/>
      <c r="G27" s="4" t="n"/>
      <c r="H27" s="5" t="n"/>
    </row>
    <row r="29" ht="24" customHeight="1">
      <c r="A29" s="9" t="inlineStr">
        <is>
          <t>사진 붙이는 법</t>
        </is>
      </c>
    </row>
    <row r="30" ht="21" customHeight="1">
      <c r="A30" s="10" t="inlineStr">
        <is>
          <t>• 윈도우: Win + Shift + S → 영역 선택 → 엑셀에서 그 줄의 «사진» 칸을 누르고 Ctrl + V</t>
        </is>
      </c>
    </row>
    <row r="31" ht="21" customHeight="1">
      <c r="A31" s="10" t="inlineStr">
        <is>
          <t>• 맥: Cmd + Ctrl + Shift + 4 → 영역 선택 → 엑셀에서 그 줄의 «사진» 칸을 누르고 Cmd + V</t>
        </is>
      </c>
    </row>
    <row r="32" ht="21" customHeight="1">
      <c r="A32" s="10" t="inlineStr">
        <is>
          <t>• 사진이 크면 모서리를 끌어 줄이세요. 사진은 그 줄 «사진» 칸 위에 두면 됩니다 — 취합할 때 줄 번호로 찾습니다.</t>
        </is>
      </c>
    </row>
    <row r="33" ht="21" customHeight="1">
      <c r="A33" s="10" t="inlineStr">
        <is>
          <t>• 사진은 떠 있는 그대로 두세요(«셀에 배치»로 넣으면 취합할 때 꺼내지 못합니다).</t>
        </is>
      </c>
    </row>
    <row r="35" ht="24" customHeight="1">
      <c r="A35" s="9" t="inlineStr">
        <is>
          <t>누구로 — 계정 바꾸는 법</t>
        </is>
      </c>
    </row>
    <row r="36" ht="21" customHeight="1">
      <c r="A36" s="10" t="inlineStr">
        <is>
          <t>• 화면 오른쪽 위 이름을 누르면 사람 목록이 나옵니다. «누구로» 칸의 이름을 누르면 바뀝니다.</t>
        </is>
      </c>
    </row>
    <row r="37" ht="22" customHeight="1">
      <c r="A37" s="2" t="inlineStr">
        <is>
          <t>이름</t>
        </is>
      </c>
      <c r="B37" s="2" t="inlineStr">
        <is>
          <t>누구</t>
        </is>
      </c>
      <c r="C37" s="4" t="n"/>
      <c r="D37" s="5" t="n"/>
      <c r="E37" s="2" t="inlineStr">
        <is>
          <t>주로 하는 것</t>
        </is>
      </c>
      <c r="F37" s="4" t="n"/>
      <c r="G37" s="4" t="n"/>
      <c r="H37" s="5" t="n"/>
    </row>
    <row r="38" ht="22" customHeight="1">
      <c r="A38" s="17" t="inlineStr">
        <is>
          <t>박안전</t>
        </is>
      </c>
      <c r="B38" s="3" t="inlineStr">
        <is>
          <t>재난안전과 담당자</t>
        </is>
      </c>
      <c r="C38" s="4" t="n"/>
      <c r="D38" s="5" t="n"/>
      <c r="E38" s="3" t="inlineStr">
        <is>
          <t>대부분 이 계정 — 등록·확인·공문</t>
        </is>
      </c>
      <c r="F38" s="4" t="n"/>
      <c r="G38" s="4" t="n"/>
      <c r="H38" s="5" t="n"/>
    </row>
    <row r="39" ht="22" customHeight="1">
      <c r="A39" s="17" t="inlineStr">
        <is>
          <t>하정수</t>
        </is>
      </c>
      <c r="B39" s="3" t="inlineStr">
        <is>
          <t>물순환사업소 담당자</t>
        </is>
      </c>
      <c r="C39" s="4" t="n"/>
      <c r="D39" s="5" t="n"/>
      <c r="E39" s="3" t="inlineStr">
        <is>
          <t>자기 부서 일만 한다</t>
        </is>
      </c>
      <c r="F39" s="4" t="n"/>
      <c r="G39" s="4" t="n"/>
      <c r="H39" s="5" t="n"/>
    </row>
    <row r="40" ht="22" customHeight="1">
      <c r="A40" s="17" t="inlineStr">
        <is>
          <t>정환경</t>
        </is>
      </c>
      <c r="B40" s="3" t="inlineStr">
        <is>
          <t>환경과 담당자</t>
        </is>
      </c>
      <c r="C40" s="4" t="n"/>
      <c r="D40" s="5" t="n"/>
      <c r="E40" s="3" t="inlineStr">
        <is>
          <t>남의 부서 것을 못 건드리는지 볼 때</t>
        </is>
      </c>
      <c r="F40" s="4" t="n"/>
      <c r="G40" s="4" t="n"/>
      <c r="H40" s="5" t="n"/>
    </row>
    <row r="41" ht="22" customHeight="1">
      <c r="A41" s="17" t="inlineStr">
        <is>
          <t>오순환</t>
        </is>
      </c>
      <c r="B41" s="3" t="inlineStr">
        <is>
          <t>물순환사업소장</t>
        </is>
      </c>
      <c r="C41" s="4" t="n"/>
      <c r="D41" s="5" t="n"/>
      <c r="E41" s="3" t="inlineStr">
        <is>
          <t>자기 부서를 보고 재촉한다</t>
        </is>
      </c>
      <c r="F41" s="4" t="n"/>
      <c r="G41" s="4" t="n"/>
      <c r="H41" s="5" t="n"/>
    </row>
    <row r="42" ht="22" customHeight="1">
      <c r="A42" s="17" t="inlineStr">
        <is>
          <t>김중대</t>
        </is>
      </c>
      <c r="B42" s="3" t="inlineStr">
        <is>
          <t>중대재해팀장</t>
        </is>
      </c>
      <c r="C42" s="4" t="n"/>
      <c r="D42" s="5" t="n"/>
      <c r="E42" s="3" t="inlineStr">
        <is>
          <t>공문 결재선(검토)을 볼 때</t>
        </is>
      </c>
      <c r="F42" s="4" t="n"/>
      <c r="G42" s="4" t="n"/>
      <c r="H42" s="5" t="n"/>
    </row>
    <row r="43" ht="22" customHeight="1">
      <c r="A43" s="17" t="inlineStr">
        <is>
          <t>홍길동</t>
        </is>
      </c>
      <c r="B43" s="3" t="inlineStr">
        <is>
          <t>재난안전과장</t>
        </is>
      </c>
      <c r="C43" s="4" t="n"/>
      <c r="D43" s="5" t="n"/>
      <c r="E43" s="3" t="inlineStr">
        <is>
          <t>보기만 한다 — 등록 버튼이 없는 게 정상</t>
        </is>
      </c>
      <c r="F43" s="4" t="n"/>
      <c r="G43" s="4" t="n"/>
      <c r="H43" s="5" t="n"/>
    </row>
    <row r="44" ht="22" customHeight="1">
      <c r="A44" s="17" t="inlineStr">
        <is>
          <t>김담양</t>
        </is>
      </c>
      <c r="B44" s="3" t="inlineStr">
        <is>
          <t>군수</t>
        </is>
      </c>
      <c r="C44" s="4" t="n"/>
      <c r="D44" s="5" t="n"/>
      <c r="E44" s="3" t="inlineStr">
        <is>
          <t>보기만 한다</t>
        </is>
      </c>
      <c r="F44" s="4" t="n"/>
      <c r="G44" s="4" t="n"/>
      <c r="H44" s="5" t="n"/>
    </row>
    <row r="46" ht="24" customHeight="1">
      <c r="A46" s="9" t="inlineStr">
        <is>
          <t>알아 두면 좋은 것 (결함이 아닙니다)</t>
        </is>
      </c>
    </row>
    <row r="47" ht="21" customHeight="1">
      <c r="A47" s="10" t="inlineStr">
        <is>
          <t>• 오늘 날짜가 2026-07-16 으로 고정돼 있습니다. 기한·D-day는 이 날 기준입니다.</t>
        </is>
      </c>
    </row>
    <row r="48" ht="21" customHeight="1">
      <c r="A48" s="10" t="inlineStr">
        <is>
          <t>• 입력한 데이터는 그 브라우저 탭에만 남습니다. 새 탭을 열면 처음 상태로 돌아갑니다(새로고침은 괜찮습니다).</t>
        </is>
      </c>
    </row>
    <row r="49" ht="21" customHeight="1">
      <c r="A49" s="10" t="inlineStr">
        <is>
          <t>• 파일 첨부는 파일 이름만 남습니다. 실제 파일을 열거나 받을 수는 없습니다.</t>
        </is>
      </c>
    </row>
    <row r="50" ht="21" customHeight="1">
      <c r="A50" s="10" t="inlineStr">
        <is>
          <t>• «…연계 후 제공됩니다» 안내는 일부러 막아 둔 기능입니다.</t>
        </is>
      </c>
    </row>
    <row r="51" ht="21" customHeight="1">
      <c r="A51" s="10" t="inlineStr">
        <is>
          <t>• 과장·군수에게 등록·수정 버튼이 없는 것, 결재 승인·반려 버튼이 없는 것(결재는 온나라에서 합니다)은 정상입니다.</t>
        </is>
      </c>
    </row>
    <row r="52" ht="21" customHeight="1">
      <c r="A52" s="10" t="inlineStr">
        <is>
          <t>• 2025년 자료는 실제 문서이고, 2026년 자료는 «예시 자료»입니다.</t>
        </is>
      </c>
    </row>
    <row r="53" ht="21" customHeight="1">
      <c r="A53" s="10" t="inlineStr">
        <is>
          <t>• ---</t>
        </is>
      </c>
    </row>
  </sheetData>
  <mergeCells count="50">
    <mergeCell ref="B42:D42"/>
    <mergeCell ref="A48:H48"/>
    <mergeCell ref="A30:H30"/>
    <mergeCell ref="B9:H9"/>
    <mergeCell ref="A15:H15"/>
    <mergeCell ref="A51:H51"/>
    <mergeCell ref="B6:H6"/>
    <mergeCell ref="B24:H24"/>
    <mergeCell ref="A36:H36"/>
    <mergeCell ref="A49:H49"/>
    <mergeCell ref="B44:D44"/>
    <mergeCell ref="A1:H1"/>
    <mergeCell ref="E41:H41"/>
    <mergeCell ref="B5:H5"/>
    <mergeCell ref="B38:D38"/>
    <mergeCell ref="E37:H37"/>
    <mergeCell ref="B37:D37"/>
    <mergeCell ref="B26:H26"/>
    <mergeCell ref="B4:H4"/>
    <mergeCell ref="A16:H16"/>
    <mergeCell ref="E43:H43"/>
    <mergeCell ref="B40:D40"/>
    <mergeCell ref="B7:H7"/>
    <mergeCell ref="B25:H25"/>
    <mergeCell ref="B3:H3"/>
    <mergeCell ref="E42:H42"/>
    <mergeCell ref="A18:H18"/>
    <mergeCell ref="B22:H22"/>
    <mergeCell ref="A50:H50"/>
    <mergeCell ref="E39:H39"/>
    <mergeCell ref="B27:H27"/>
    <mergeCell ref="B41:D41"/>
    <mergeCell ref="B21:H21"/>
    <mergeCell ref="E38:H38"/>
    <mergeCell ref="E44:H44"/>
    <mergeCell ref="A33:H33"/>
    <mergeCell ref="A14:H14"/>
    <mergeCell ref="A47:H47"/>
    <mergeCell ref="B11:H11"/>
    <mergeCell ref="A32:H32"/>
    <mergeCell ref="B23:H23"/>
    <mergeCell ref="A17:H17"/>
    <mergeCell ref="B8:H8"/>
    <mergeCell ref="E40:H40"/>
    <mergeCell ref="A53:H53"/>
    <mergeCell ref="A52:H52"/>
    <mergeCell ref="B10:H10"/>
    <mergeCell ref="B43:D43"/>
    <mergeCell ref="B39:D39"/>
    <mergeCell ref="A31:H31"/>
  </mergeCells>
  <dataValidations count="2">
    <dataValidation sqref="B9" showDropDown="0" showInputMessage="0" showErrorMessage="0" allowBlank="1" type="list">
      <formula1>"크롬,엣지,웨일,사파리,파이어폭스,기타"</formula1>
    </dataValidation>
    <dataValidation sqref="B10" showDropDown="0" showInputMessage="0" showErrorMessage="0" allowBlank="1" type="list">
      <formula1>"윈도우 PC,맥,태블릿,휴대폰"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75B5"/>
    <outlinePr summaryBelow="1" summaryRight="1"/>
    <pageSetUpPr/>
  </sheetPr>
  <dimension ref="A1:J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2" customWidth="1" min="10" max="10"/>
  </cols>
  <sheetData>
    <row r="1" ht="30" customHeight="1">
      <c r="A1" s="1" t="inlineStr">
        <is>
          <t>진행 상황 — 통계·보고 · 윤한빛</t>
        </is>
      </c>
    </row>
    <row r="2">
      <c r="A2" s="18" t="inlineStr">
        <is>
          <t>결과를 고르면 저절로 채워집니다. 남은 것 = 아직 결과를 고르지 않은 줄입니다.</t>
        </is>
      </c>
    </row>
    <row r="4" ht="26" customHeight="1">
      <c r="A4" s="19" t="inlineStr">
        <is>
          <t>시트</t>
        </is>
      </c>
      <c r="B4" s="19" t="inlineStr">
        <is>
          <t>전체</t>
        </is>
      </c>
      <c r="C4" s="19" t="inlineStr">
        <is>
          <t>성공</t>
        </is>
      </c>
      <c r="D4" s="19" t="inlineStr">
        <is>
          <t>실패</t>
        </is>
      </c>
      <c r="E4" s="19" t="inlineStr">
        <is>
          <t>오류</t>
        </is>
      </c>
      <c r="F4" s="19" t="inlineStr">
        <is>
          <t>보류</t>
        </is>
      </c>
      <c r="G4" s="19" t="inlineStr">
        <is>
          <t>확인 불가</t>
        </is>
      </c>
      <c r="H4" s="19" t="inlineStr">
        <is>
          <t>문의</t>
        </is>
      </c>
      <c r="I4" s="19" t="inlineStr">
        <is>
          <t>남은 것</t>
        </is>
      </c>
      <c r="J4" s="19" t="inlineStr">
        <is>
          <t>진행률</t>
        </is>
      </c>
    </row>
    <row r="5" ht="22" customHeight="1">
      <c r="A5" s="20" t="inlineStr">
        <is>
          <t>현황 통계</t>
        </is>
      </c>
      <c r="B5" s="21">
        <f>COUNTA('현황 통계'!$A$4:$A$6)</f>
        <v>3</v>
      </c>
      <c r="C5" s="21">
        <f>COUNTIF('현황 통계'!$G$4:$G$6,"성공")</f>
        <v>0</v>
      </c>
      <c r="D5" s="21">
        <f>COUNTIF('현황 통계'!$G$4:$G$6,"실패")</f>
        <v>0</v>
      </c>
      <c r="E5" s="21">
        <f>COUNTIF('현황 통계'!$G$4:$G$6,"오류")</f>
        <v>0</v>
      </c>
      <c r="F5" s="21">
        <f>COUNTIF('현황 통계'!$G$4:$G$6,"보류")</f>
        <v>0</v>
      </c>
      <c r="G5" s="21">
        <f>COUNTIF('현황 통계'!$G$4:$G$6,"확인 불가")</f>
        <v>0</v>
      </c>
      <c r="H5" s="21">
        <f>COUNTIF('현황 통계'!$G$4:$G$6,"문의")</f>
        <v>0</v>
      </c>
      <c r="I5" s="21">
        <f>COUNTBLANK('현황 통계'!$G$4:$G$6)</f>
        <v>3</v>
      </c>
      <c r="J5" s="22">
        <f>IF(B5=0,0,(B5-I5)/B5)</f>
        <v>0</v>
      </c>
    </row>
    <row r="6" ht="22" customHeight="1">
      <c r="A6" s="20" t="inlineStr">
        <is>
          <t>보고서·제증명</t>
        </is>
      </c>
      <c r="B6" s="21">
        <f>COUNTA('보고서·제증명'!$A$4:$A$7)</f>
        <v>4</v>
      </c>
      <c r="C6" s="21">
        <f>COUNTIF('보고서·제증명'!$G$4:$G$7,"성공")</f>
        <v>0</v>
      </c>
      <c r="D6" s="21">
        <f>COUNTIF('보고서·제증명'!$G$4:$G$7,"실패")</f>
        <v>0</v>
      </c>
      <c r="E6" s="21">
        <f>COUNTIF('보고서·제증명'!$G$4:$G$7,"오류")</f>
        <v>0</v>
      </c>
      <c r="F6" s="21">
        <f>COUNTIF('보고서·제증명'!$G$4:$G$7,"보류")</f>
        <v>0</v>
      </c>
      <c r="G6" s="21">
        <f>COUNTIF('보고서·제증명'!$G$4:$G$7,"확인 불가")</f>
        <v>0</v>
      </c>
      <c r="H6" s="21">
        <f>COUNTIF('보고서·제증명'!$G$4:$G$7,"문의")</f>
        <v>0</v>
      </c>
      <c r="I6" s="21">
        <f>COUNTBLANK('보고서·제증명'!$G$4:$G$7)</f>
        <v>4</v>
      </c>
      <c r="J6" s="22">
        <f>IF(B6=0,0,(B6-I6)/B6)</f>
        <v>0</v>
      </c>
    </row>
    <row r="7" ht="22" customHeight="1">
      <c r="A7" s="20" t="inlineStr">
        <is>
          <t>정보센터</t>
        </is>
      </c>
      <c r="B7" s="21">
        <f>COUNTA('정보센터'!$A$4:$A$4)</f>
        <v>1</v>
      </c>
      <c r="C7" s="21">
        <f>COUNTIF('정보센터'!$G$4:$G$4,"성공")</f>
        <v>0</v>
      </c>
      <c r="D7" s="21">
        <f>COUNTIF('정보센터'!$G$4:$G$4,"실패")</f>
        <v>0</v>
      </c>
      <c r="E7" s="21">
        <f>COUNTIF('정보센터'!$G$4:$G$4,"오류")</f>
        <v>0</v>
      </c>
      <c r="F7" s="21">
        <f>COUNTIF('정보센터'!$G$4:$G$4,"보류")</f>
        <v>0</v>
      </c>
      <c r="G7" s="21">
        <f>COUNTIF('정보센터'!$G$4:$G$4,"확인 불가")</f>
        <v>0</v>
      </c>
      <c r="H7" s="21">
        <f>COUNTIF('정보센터'!$G$4:$G$4,"문의")</f>
        <v>0</v>
      </c>
      <c r="I7" s="21">
        <f>COUNTBLANK('정보센터'!$G$4:$G$4)</f>
        <v>1</v>
      </c>
      <c r="J7" s="22">
        <f>IF(B7=0,0,(B7-I7)/B7)</f>
        <v>0</v>
      </c>
    </row>
    <row r="8" ht="24" customHeight="1">
      <c r="A8" s="23" t="inlineStr">
        <is>
          <t>합계</t>
        </is>
      </c>
      <c r="B8" s="24">
        <f>SUM(B5:B7)</f>
        <v>8</v>
      </c>
      <c r="C8" s="24">
        <f>SUM(C5:C7)</f>
        <v>0</v>
      </c>
      <c r="D8" s="24">
        <f>SUM(D5:D7)</f>
        <v>0</v>
      </c>
      <c r="E8" s="24">
        <f>SUM(E5:E7)</f>
        <v>0</v>
      </c>
      <c r="F8" s="24">
        <f>SUM(F5:F7)</f>
        <v>0</v>
      </c>
      <c r="G8" s="24">
        <f>SUM(G5:G7)</f>
        <v>0</v>
      </c>
      <c r="H8" s="24">
        <f>SUM(H5:H7)</f>
        <v>0</v>
      </c>
      <c r="I8" s="24">
        <f>SUM(I5:I7)</f>
        <v>8</v>
      </c>
      <c r="J8" s="25">
        <f>IF(B8=0,0,(B8-I8)/B8)</f>
        <v>0</v>
      </c>
    </row>
  </sheetData>
  <mergeCells count="2">
    <mergeCell ref="A1:J1"/>
    <mergeCell ref="A2:J2"/>
  </mergeCells>
  <conditionalFormatting sqref="J5:J8">
    <cfRule type="dataBar" priority="1">
      <dataBar showValue="1">
        <cfvo type="num" val="0"/>
        <cfvo type="num" val="1"/>
        <color rgb="0063BE7B"/>
      </dataBar>
    </cfRule>
  </conditionalFormatting>
  <conditionalFormatting sqref="D5:D8">
    <cfRule type="cellIs" priority="2" operator="greaterThan" dxfId="0">
      <formula>0</formula>
    </cfRule>
  </conditionalFormatting>
  <conditionalFormatting sqref="E5:E8">
    <cfRule type="cellIs" priority="3" operator="greaterThan" dxfId="0">
      <formula>0</formula>
    </cfRule>
  </conditionalFormatting>
  <conditionalFormatting sqref="H5:H8">
    <cfRule type="cellIs" priority="4" operator="greater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6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통계·보고 — 현황 통계</t>
        </is>
      </c>
    </row>
    <row r="2" ht="24" customHeight="1">
      <c r="A2" s="26" t="inlineStr">
        <is>
          <t>🗂 새 탭에서 시작하세요.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4" customHeight="1">
      <c r="A4" s="28" t="n">
        <v>1</v>
      </c>
      <c r="B4" s="3" t="inlineStr">
        <is>
          <t>박안전</t>
        </is>
      </c>
      <c r="C4" s="3" t="inlineStr">
        <is>
          <t>통계·보고 &gt; 현황 통계</t>
        </is>
      </c>
      <c r="D4" s="17" t="inlineStr">
        <is>
          <t>조건 바꾸기</t>
        </is>
      </c>
      <c r="E4" s="3" t="inlineStr">
        <is>
          <t>연도 · 기간 · 대메뉴 조건을 바꾼다</t>
        </is>
      </c>
      <c r="F4" s="3" t="inlineStr">
        <is>
          <t>숫자와 표가 함께 바뀐다</t>
        </is>
      </c>
      <c r="G4" s="29" t="n"/>
      <c r="H4" s="7" t="n"/>
      <c r="I4" s="7" t="n"/>
    </row>
    <row r="5" ht="36" customHeight="1">
      <c r="A5" s="28" t="n">
        <v>2</v>
      </c>
      <c r="B5" s="30" t="inlineStr">
        <is>
          <t>박안전</t>
        </is>
      </c>
      <c r="C5" s="30" t="inlineStr">
        <is>
          <t>통계·보고 &gt; 현황 통계</t>
        </is>
      </c>
      <c r="D5" s="17" t="inlineStr">
        <is>
          <t>분야 누르기</t>
        </is>
      </c>
      <c r="E5" s="3" t="inlineStr">
        <is>
          <t>«대메뉴별 문서 분포»에서 분야 하나(예: 위험성평가)를 누른다</t>
        </is>
      </c>
      <c r="F5" s="3" t="inlineStr">
        <is>
          <t>문서 목록이 그 분야 조건으로 열리고 숫자가 같다</t>
        </is>
      </c>
      <c r="G5" s="29" t="n"/>
      <c r="H5" s="7" t="n"/>
      <c r="I5" s="7" t="n"/>
    </row>
    <row r="6" ht="36" customHeight="1">
      <c r="A6" s="28" t="n">
        <v>3</v>
      </c>
      <c r="B6" s="30" t="inlineStr">
        <is>
          <t>박안전</t>
        </is>
      </c>
      <c r="C6" s="30" t="inlineStr">
        <is>
          <t>통계·보고 &gt; 현황 통계</t>
        </is>
      </c>
      <c r="D6" s="17" t="inlineStr">
        <is>
          <t>내려받기·신고 현황</t>
        </is>
      </c>
      <c r="E6" s="3" t="inlineStr">
        <is>
          <t>[엑셀 다운로드] → [신고 현황]</t>
        </is>
      </c>
      <c r="F6" s="3" t="inlineStr">
        <is>
          <t>«…집계 원본 확정 후 제공됩니다»가 뜬다. 신고 현황은 건의함으로 간다</t>
        </is>
      </c>
      <c r="G6" s="29" t="n"/>
      <c r="H6" s="7" t="n"/>
      <c r="I6" s="7" t="n"/>
    </row>
  </sheetData>
  <autoFilter ref="A3:I6"/>
  <mergeCells count="2">
    <mergeCell ref="A1:I1"/>
    <mergeCell ref="A2:I2"/>
  </mergeCells>
  <conditionalFormatting sqref="G4:G6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6">
    <cfRule type="expression" priority="7" dxfId="7">
      <formula>AND(OR($G4="실패",$G4="오류",$G4="문의"),$H4="")</formula>
    </cfRule>
  </conditionalFormatting>
  <dataValidations count="1">
    <dataValidation sqref="G4:G6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7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통계·보고 — 보고서·제증명</t>
        </is>
      </c>
    </row>
    <row r="2" ht="24" customHeight="1">
      <c r="A2" s="26" t="inlineStr">
        <is>
          <t>🗂 어느 탭에서 해도 됩니다.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6" customHeight="1">
      <c r="A4" s="28" t="n">
        <v>4</v>
      </c>
      <c r="B4" s="3" t="inlineStr">
        <is>
          <t>박안전</t>
        </is>
      </c>
      <c r="C4" s="3" t="inlineStr">
        <is>
          <t>통계·보고 &gt; 보고서·제증명</t>
        </is>
      </c>
      <c r="D4" s="17" t="inlineStr">
        <is>
          <t>보고서 조건과 미리보기</t>
        </is>
      </c>
      <c r="E4" s="3" t="inlineStr">
        <is>
          <t>보고서 종류와 조건을 바꾼다</t>
        </is>
      </c>
      <c r="F4" s="3" t="inlineStr">
        <is>
          <t>미리보기가 조건대로 바뀌고 조건 칸이 겹치지 않는다</t>
        </is>
      </c>
      <c r="G4" s="29" t="n"/>
      <c r="H4" s="7" t="n"/>
      <c r="I4" s="7" t="n"/>
    </row>
    <row r="5" ht="36" customHeight="1">
      <c r="A5" s="28" t="n">
        <v>5</v>
      </c>
      <c r="B5" s="30" t="inlineStr">
        <is>
          <t>박안전</t>
        </is>
      </c>
      <c r="C5" s="30" t="inlineStr">
        <is>
          <t>통계·보고 &gt; 보고서·제증명</t>
        </is>
      </c>
      <c r="D5" s="17" t="inlineStr">
        <is>
          <t>대상자 고르기</t>
        </is>
      </c>
      <c r="E5" s="3" t="inlineStr">
        <is>
          <t>«개인 이수 확인서» → [대상자 선택] → 이수현황에서 [발급]</t>
        </is>
      </c>
      <c r="F5" s="3" t="inlineStr">
        <is>
          <t>그 사람이 채워진 채로 돌아온다</t>
        </is>
      </c>
      <c r="G5" s="29" t="n"/>
      <c r="H5" s="7" t="n"/>
      <c r="I5" s="7" t="n"/>
    </row>
    <row r="6" ht="36" customHeight="1">
      <c r="A6" s="28" t="n">
        <v>6</v>
      </c>
      <c r="B6" s="30" t="inlineStr">
        <is>
          <t>박안전</t>
        </is>
      </c>
      <c r="C6" s="30" t="inlineStr">
        <is>
          <t>통계·보고 &gt; 보고서·제증명</t>
        </is>
      </c>
      <c r="D6" s="17" t="inlineStr">
        <is>
          <t>출력·결재</t>
        </is>
      </c>
      <c r="E6" s="3" t="inlineStr">
        <is>
          <t>[PDF 출력] · [온나라 결재]</t>
        </is>
      </c>
      <c r="F6" s="3" t="inlineStr">
        <is>
          <t>«…연계 후 적용됩니다»가 뜨고 출력 이력에 가짜 줄이 생기지 않는다</t>
        </is>
      </c>
      <c r="G6" s="29" t="n"/>
      <c r="H6" s="7" t="n"/>
      <c r="I6" s="7" t="n"/>
    </row>
    <row r="7" ht="36" customHeight="1">
      <c r="A7" s="28" t="n">
        <v>7</v>
      </c>
      <c r="B7" s="30" t="inlineStr">
        <is>
          <t>박안전</t>
        </is>
      </c>
      <c r="C7" s="30" t="inlineStr">
        <is>
          <t>통계·보고 &gt; 보고서·제증명</t>
        </is>
      </c>
      <c r="D7" s="17" t="inlineStr">
        <is>
          <t>발급번호 확인</t>
        </is>
      </c>
      <c r="E7" s="3" t="inlineStr">
        <is>
          <t>DY-2026-0003 [조회] → 없는 번호로 [조회]</t>
        </is>
      </c>
      <c r="F7" s="3" t="inlineStr">
        <is>
          <t>있는 번호는 내용이, 없는 번호는 «없음» 안내가 나온다</t>
        </is>
      </c>
      <c r="G7" s="29" t="n"/>
      <c r="H7" s="7" t="n"/>
      <c r="I7" s="7" t="n"/>
    </row>
  </sheetData>
  <autoFilter ref="A3:I7"/>
  <mergeCells count="2">
    <mergeCell ref="A1:I1"/>
    <mergeCell ref="A2:I2"/>
  </mergeCells>
  <conditionalFormatting sqref="G4:G7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7">
    <cfRule type="expression" priority="7" dxfId="7">
      <formula>AND(OR($G4="실패",$G4="오류",$G4="문의"),$H4="")</formula>
    </cfRule>
  </conditionalFormatting>
  <dataValidations count="1">
    <dataValidation sqref="G4:G7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4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통계·보고 — 정보센터</t>
        </is>
      </c>
    </row>
    <row r="2" ht="24" customHeight="1">
      <c r="A2" s="26" t="inlineStr">
        <is>
          <t>🗂 어느 탭에서 해도 됩니다.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6" customHeight="1">
      <c r="A4" s="28" t="n">
        <v>8</v>
      </c>
      <c r="B4" s="3" t="inlineStr">
        <is>
          <t>박안전</t>
        </is>
      </c>
      <c r="C4" s="3" t="inlineStr">
        <is>
          <t>통계·보고 &gt; 정보센터</t>
        </is>
      </c>
      <c r="D4" s="17" t="inlineStr">
        <is>
          <t>탭과 안내</t>
        </is>
      </c>
      <c r="E4" s="3" t="inlineStr">
        <is>
          <t>[공지사항] · [자료실] · [우수사례] → [검색] → [다운로드]</t>
        </is>
      </c>
      <c r="F4" s="3" t="inlineStr">
        <is>
          <t>세 탭이 뜬다. 검색·다운로드는 «…후 제공됩니다»가 뜬다</t>
        </is>
      </c>
      <c r="G4" s="29" t="n"/>
      <c r="H4" s="7" t="n"/>
      <c r="I4" s="7" t="n"/>
    </row>
  </sheetData>
  <autoFilter ref="A3:I4"/>
  <mergeCells count="2">
    <mergeCell ref="A1:I1"/>
    <mergeCell ref="A2:I2"/>
  </mergeCells>
  <conditionalFormatting sqref="G4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">
    <cfRule type="expression" priority="7" dxfId="7">
      <formula>AND(OR($G4="실패",$G4="오류",$G4="문의"),$H4="")</formula>
    </cfRule>
  </conditionalFormatting>
  <dataValidations count="1">
    <dataValidation sqref="G4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형식</t>
        </is>
      </c>
      <c r="B1" t="inlineStr">
        <is>
          <t>QA엑셀 v1.1</t>
        </is>
      </c>
    </row>
    <row r="2">
      <c r="A2" t="inlineStr">
        <is>
          <t>메뉴</t>
        </is>
      </c>
      <c r="B2" t="inlineStr">
        <is>
          <t>통계·보고</t>
        </is>
      </c>
    </row>
    <row r="3">
      <c r="A3" t="inlineStr">
        <is>
          <t>담당자</t>
        </is>
      </c>
      <c r="B3" t="inlineStr">
        <is>
          <t>윤한빛</t>
        </is>
      </c>
    </row>
    <row r="4">
      <c r="A4" t="inlineStr">
        <is>
          <t>파일 코드</t>
        </is>
      </c>
      <c r="B4" t="inlineStr">
        <is>
          <t>ST</t>
        </is>
      </c>
    </row>
    <row r="5">
      <c r="A5" t="inlineStr">
        <is>
          <t>종류</t>
        </is>
      </c>
      <c r="B5" t="inlineStr">
        <is>
          <t>스모크</t>
        </is>
      </c>
    </row>
    <row r="6">
      <c r="A6" t="inlineStr">
        <is>
          <t>생성일</t>
        </is>
      </c>
      <c r="B6" t="inlineStr">
        <is>
          <t>2026-09-28</t>
        </is>
      </c>
    </row>
    <row r="7">
      <c r="A7" t="inlineStr">
        <is>
          <t>결과 값</t>
        </is>
      </c>
      <c r="B7" t="inlineStr">
        <is>
          <t>성공,실패,오류,보류,확인 불가,문의</t>
        </is>
      </c>
    </row>
    <row r="8">
      <c r="A8" t="inlineStr">
        <is>
          <t>머리 행</t>
        </is>
      </c>
      <c r="B8" t="n">
        <v>3</v>
      </c>
    </row>
    <row r="9">
      <c r="A9" t="inlineStr">
        <is>
          <t>열</t>
        </is>
      </c>
      <c r="B9" t="inlineStr">
        <is>
          <t>번호,누구로,어디서,확인할,해,이러면,결과,메모,사진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2026-09-28T08:54:00Z</dcterms:created>
  <dcterms:modified xmlns:dcterms="http://purl.org/dc/terms/" xmlns:xsi="http://www.w3.org/2001/XMLSchema-instance" xsi:type="dcterms:W3CDTF">2026-09-28T08:54:00Z</dcterms:modified>
</cp:coreProperties>
</file>