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근로자 명단" sheetId="3" state="visible" r:id="rId3"/>
    <sheet xmlns:r="http://schemas.openxmlformats.org/officeDocument/2006/relationships" name="2 정기교육(집합)" sheetId="4" state="visible" r:id="rId4"/>
    <sheet xmlns:r="http://schemas.openxmlformats.org/officeDocument/2006/relationships" name="3 자체·채용시·기타" sheetId="5" state="visible" r:id="rId5"/>
    <sheet xmlns:r="http://schemas.openxmlformats.org/officeDocument/2006/relationships" name="4 이수현황" sheetId="6" state="visible" r:id="rId6"/>
    <sheet xmlns:r="http://schemas.openxmlformats.org/officeDocument/2006/relationships" name="5 공문·결재 이력" sheetId="7" state="visible" r:id="rId7"/>
    <sheet xmlns:r="http://schemas.openxmlformats.org/officeDocument/2006/relationships" name="6 계정별 차이" sheetId="8" state="visible" r:id="rId8"/>
    <sheet xmlns:r="http://schemas.openxmlformats.org/officeDocument/2006/relationships" name="_정보" sheetId="9" state="hidden" r:id="rId9"/>
  </sheets>
  <definedNames>
    <definedName name="_xlnm._FilterDatabase" localSheetId="2" hidden="1">'1 근로자 명단'!$A$3:$I$12</definedName>
    <definedName name="_xlnm.Print_Titles" localSheetId="2">'1 근로자 명단'!$3:$3</definedName>
    <definedName name="_xlnm._FilterDatabase" localSheetId="3" hidden="1">'2 정기교육(집합)'!$A$3:$I$18</definedName>
    <definedName name="_xlnm.Print_Titles" localSheetId="3">'2 정기교육(집합)'!$3:$3</definedName>
    <definedName name="_xlnm._FilterDatabase" localSheetId="4" hidden="1">'3 자체·채용시·기타'!$A$3:$I$17</definedName>
    <definedName name="_xlnm.Print_Titles" localSheetId="4">'3 자체·채용시·기타'!$3:$3</definedName>
    <definedName name="_xlnm._FilterDatabase" localSheetId="5" hidden="1">'4 이수현황'!$A$3:$I$10</definedName>
    <definedName name="_xlnm.Print_Titles" localSheetId="5">'4 이수현황'!$3:$3</definedName>
    <definedName name="_xlnm._FilterDatabase" localSheetId="6" hidden="1">'5 공문·결재 이력'!$A$3:$I$11</definedName>
    <definedName name="_xlnm.Print_Titles" localSheetId="6">'5 공문·결재 이력'!$3:$3</definedName>
    <definedName name="_xlnm._FilterDatabase" localSheetId="7" hidden="1">'6 계정별 차이'!$A$3:$I$8</definedName>
    <definedName name="_xlnm.Print_Titles" localSheetId="7">'6 계정별 차이'!$3:$3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i val="1"/>
      <color rgb="007F7F7F"/>
      <sz val="10.5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안전보건교육 · 윤한빛</t>
        </is>
      </c>
    </row>
    <row r="3" ht="22" customHeight="1">
      <c r="A3" s="2" t="inlineStr">
        <is>
          <t>메뉴</t>
        </is>
      </c>
      <c r="B3" s="3" t="inlineStr">
        <is>
          <t>안전보건교육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윤한빛</t>
        </is>
      </c>
      <c r="C4" s="4" t="n"/>
      <c r="D4" s="4" t="n"/>
      <c r="E4" s="4" t="n"/>
      <c r="F4" s="4" t="n"/>
      <c r="G4" s="4" t="n"/>
      <c r="H4" s="5" t="n"/>
    </row>
    <row r="5" ht="36" customHeight="1">
      <c r="A5" s="2" t="inlineStr">
        <is>
          <t>이 파일</t>
        </is>
      </c>
      <c r="B5" s="3" t="inlineStr">
        <is>
          <t>근로자 명단 → 교육 등록 → 참석자 등록부 → 교육 종료 → 이수현황 → 공문까지 봅니다. 이수 기록은 참석자를 등록할 때가 아니라 [교육 종료 처리]를 눌러야 생깁니다.</t>
        </is>
      </c>
      <c r="C5" s="4" t="n"/>
      <c r="D5" s="4" t="n"/>
      <c r="E5" s="4" t="n"/>
      <c r="F5" s="4" t="n"/>
      <c r="G5" s="4" t="n"/>
      <c r="H5" s="5" t="n"/>
    </row>
    <row r="6" ht="22" customHeight="1">
      <c r="A6" s="2" t="inlineStr">
        <is>
          <t>줄 수</t>
        </is>
      </c>
      <c r="B6" s="3" t="inlineStr">
        <is>
          <t>58줄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시트</t>
        </is>
      </c>
      <c r="B7" s="3" t="inlineStr">
        <is>
          <t>1 근로자 명단 → 2 정기교육(집합) → 3 자체·채용시·기타 → 4 이수현황 → 5 공문·결재 이력 → 6 계정별 차이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테스트 주소</t>
        </is>
      </c>
      <c r="B8" s="6" t="inlineStr">
        <is>
          <t>(배포 주소를 받으면 채웁니다)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브라우저</t>
        </is>
      </c>
      <c r="B9" s="7" t="n"/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기기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시작한 날</t>
        </is>
      </c>
      <c r="B11" s="8" t="n"/>
      <c r="C11" s="4" t="n"/>
      <c r="D11" s="4" t="n"/>
      <c r="E11" s="4" t="n"/>
      <c r="F11" s="4" t="n"/>
      <c r="G11" s="4" t="n"/>
      <c r="H11" s="5" t="n"/>
    </row>
    <row r="13" ht="24" customHeight="1">
      <c r="A13" s="9" t="inlineStr">
        <is>
          <t>이렇게 하면 됩니다</t>
        </is>
      </c>
    </row>
    <row r="14" ht="21" customHeight="1">
      <c r="A14" s="10" t="inlineStr">
        <is>
          <t>① 브라우저로 위 «테스트 주소»를 엽니다. 시트마다 맨 위에 «새 탭에서 시작» 또는 «같은 탭에서 이어서»가 적혀 있습니다.</t>
        </is>
      </c>
    </row>
    <row r="15" ht="21" customHeight="1">
      <c r="A15" s="10" t="inlineStr">
        <is>
          <t>② 화면 오른쪽 위 이름을 눌러 «누구로» 칸의 사람으로 바꿉니다.</t>
        </is>
      </c>
    </row>
    <row r="16" ht="21" customHeight="1">
      <c r="A16" s="10" t="inlineStr">
        <is>
          <t>③ «어디서» 메뉴로 가서 «해 볼 것»대로 눌러 봅니다.</t>
        </is>
      </c>
    </row>
    <row r="17" ht="21" customHeight="1">
      <c r="A17" s="10" t="inlineStr">
        <is>
          <t>④ «이러면 성공»과 같으면 «결과» 칸에서 성공을, 다르면 실패·오류 등을 고릅니다.</t>
        </is>
      </c>
    </row>
    <row r="18" ht="21" customHeight="1">
      <c r="A18" s="10" t="inlineStr">
        <is>
          <t>⑤ 실패·오류·문의면 «메모»에 한 줄 적고, 필요하면 «사진» 칸에 화면 캡처를 붙여넣습니다.</t>
        </is>
      </c>
    </row>
    <row r="20" ht="24" customHeight="1">
      <c r="A20" s="9" t="inlineStr">
        <is>
          <t>결과 고르는 법</t>
        </is>
      </c>
    </row>
    <row r="21" ht="22" customHeight="1">
      <c r="A21" s="2" t="inlineStr">
        <is>
          <t>결과</t>
        </is>
      </c>
      <c r="B21" s="2" t="inlineStr">
        <is>
          <t>이럴 때 고르세요</t>
        </is>
      </c>
      <c r="C21" s="4" t="n"/>
      <c r="D21" s="4" t="n"/>
      <c r="E21" s="4" t="n"/>
      <c r="F21" s="4" t="n"/>
      <c r="G21" s="4" t="n"/>
      <c r="H21" s="5" t="n"/>
    </row>
    <row r="22" ht="22" customHeight="1">
      <c r="A22" s="11" t="inlineStr">
        <is>
          <t>성공</t>
        </is>
      </c>
      <c r="B22" s="3" t="inlineStr">
        <is>
          <t>«이러면 성공»대로 된다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2" t="inlineStr">
        <is>
          <t>실패</t>
        </is>
      </c>
      <c r="B23" s="3" t="inlineStr">
        <is>
          <t>되긴 하는데 설명과 다르다 — 막혀야 하는데 저장된다, 문구·숫자가 틀리다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3" t="inlineStr">
        <is>
          <t>오류</t>
        </is>
      </c>
      <c r="B24" s="3" t="inlineStr">
        <is>
          <t>화면이 멈추거나 깨진다, 눌러도 아무 일이 없다, 오류 창이 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4" t="inlineStr">
        <is>
          <t>보류</t>
        </is>
      </c>
      <c r="B25" s="3" t="inlineStr">
        <is>
          <t>앞 단계가 안 돼서 지금은 못 한다 — 메모에 이유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5" t="inlineStr">
        <is>
          <t>확인 불가</t>
        </is>
      </c>
      <c r="B26" s="3" t="inlineStr">
        <is>
          <t>이 환경에서는 볼 수 없다 — 예: 확인할 데이터가 없다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6" t="inlineStr">
        <is>
          <t>문의</t>
        </is>
      </c>
      <c r="B27" s="3" t="inlineStr">
        <is>
          <t>맞는지 헷갈린다 — 메모에 궁금한 점</t>
        </is>
      </c>
      <c r="C27" s="4" t="n"/>
      <c r="D27" s="4" t="n"/>
      <c r="E27" s="4" t="n"/>
      <c r="F27" s="4" t="n"/>
      <c r="G27" s="4" t="n"/>
      <c r="H27" s="5" t="n"/>
    </row>
    <row r="29" ht="24" customHeight="1">
      <c r="A29" s="9" t="inlineStr">
        <is>
          <t>사진 붙이는 법</t>
        </is>
      </c>
    </row>
    <row r="30" ht="21" customHeight="1">
      <c r="A30" s="10" t="inlineStr">
        <is>
          <t>• 윈도우: Win + Shift + S → 영역 선택 → 엑셀에서 그 줄의 «사진» 칸을 누르고 Ctrl + V</t>
        </is>
      </c>
    </row>
    <row r="31" ht="21" customHeight="1">
      <c r="A31" s="10" t="inlineStr">
        <is>
          <t>• 맥: Cmd + Ctrl + Shift + 4 → 영역 선택 → 엑셀에서 그 줄의 «사진» 칸을 누르고 Cmd + V</t>
        </is>
      </c>
    </row>
    <row r="32" ht="21" customHeight="1">
      <c r="A32" s="10" t="inlineStr">
        <is>
          <t>• 사진이 크면 모서리를 끌어 줄이세요. 사진은 그 줄 «사진» 칸 위에 두면 됩니다 — 취합할 때 줄 번호로 찾습니다.</t>
        </is>
      </c>
    </row>
    <row r="33" ht="21" customHeight="1">
      <c r="A33" s="10" t="inlineStr">
        <is>
          <t>• 사진은 떠 있는 그대로 두세요(«셀에 배치»로 넣으면 취합할 때 꺼내지 못합니다).</t>
        </is>
      </c>
    </row>
    <row r="35" ht="24" customHeight="1">
      <c r="A35" s="9" t="inlineStr">
        <is>
          <t>누구로 — 계정 바꾸는 법</t>
        </is>
      </c>
    </row>
    <row r="36" ht="21" customHeight="1">
      <c r="A36" s="10" t="inlineStr">
        <is>
          <t>• 화면 오른쪽 위 이름을 누르면 사람 목록이 나옵니다. «누구로» 칸의 이름을 누르면 바뀝니다.</t>
        </is>
      </c>
    </row>
    <row r="37" ht="22" customHeight="1">
      <c r="A37" s="2" t="inlineStr">
        <is>
          <t>이름</t>
        </is>
      </c>
      <c r="B37" s="2" t="inlineStr">
        <is>
          <t>누구</t>
        </is>
      </c>
      <c r="C37" s="4" t="n"/>
      <c r="D37" s="5" t="n"/>
      <c r="E37" s="2" t="inlineStr">
        <is>
          <t>주로 하는 것</t>
        </is>
      </c>
      <c r="F37" s="4" t="n"/>
      <c r="G37" s="4" t="n"/>
      <c r="H37" s="5" t="n"/>
    </row>
    <row r="38" ht="22" customHeight="1">
      <c r="A38" s="17" t="inlineStr">
        <is>
          <t>박안전</t>
        </is>
      </c>
      <c r="B38" s="3" t="inlineStr">
        <is>
          <t>재난안전과 담당자</t>
        </is>
      </c>
      <c r="C38" s="4" t="n"/>
      <c r="D38" s="5" t="n"/>
      <c r="E38" s="3" t="inlineStr">
        <is>
          <t>대부분 이 계정 — 등록·확인·공문</t>
        </is>
      </c>
      <c r="F38" s="4" t="n"/>
      <c r="G38" s="4" t="n"/>
      <c r="H38" s="5" t="n"/>
    </row>
    <row r="39" ht="22" customHeight="1">
      <c r="A39" s="17" t="inlineStr">
        <is>
          <t>하정수</t>
        </is>
      </c>
      <c r="B39" s="3" t="inlineStr">
        <is>
          <t>물순환사업소 담당자</t>
        </is>
      </c>
      <c r="C39" s="4" t="n"/>
      <c r="D39" s="5" t="n"/>
      <c r="E39" s="3" t="inlineStr">
        <is>
          <t>자기 부서 일만 한다</t>
        </is>
      </c>
      <c r="F39" s="4" t="n"/>
      <c r="G39" s="4" t="n"/>
      <c r="H39" s="5" t="n"/>
    </row>
    <row r="40" ht="22" customHeight="1">
      <c r="A40" s="17" t="inlineStr">
        <is>
          <t>정환경</t>
        </is>
      </c>
      <c r="B40" s="3" t="inlineStr">
        <is>
          <t>환경과 담당자</t>
        </is>
      </c>
      <c r="C40" s="4" t="n"/>
      <c r="D40" s="5" t="n"/>
      <c r="E40" s="3" t="inlineStr">
        <is>
          <t>남의 부서 것을 못 건드리는지 볼 때</t>
        </is>
      </c>
      <c r="F40" s="4" t="n"/>
      <c r="G40" s="4" t="n"/>
      <c r="H40" s="5" t="n"/>
    </row>
    <row r="41" ht="22" customHeight="1">
      <c r="A41" s="17" t="inlineStr">
        <is>
          <t>오순환</t>
        </is>
      </c>
      <c r="B41" s="3" t="inlineStr">
        <is>
          <t>물순환사업소장</t>
        </is>
      </c>
      <c r="C41" s="4" t="n"/>
      <c r="D41" s="5" t="n"/>
      <c r="E41" s="3" t="inlineStr">
        <is>
          <t>자기 부서를 보고 재촉한다</t>
        </is>
      </c>
      <c r="F41" s="4" t="n"/>
      <c r="G41" s="4" t="n"/>
      <c r="H41" s="5" t="n"/>
    </row>
    <row r="42" ht="22" customHeight="1">
      <c r="A42" s="17" t="inlineStr">
        <is>
          <t>김중대</t>
        </is>
      </c>
      <c r="B42" s="3" t="inlineStr">
        <is>
          <t>중대재해팀장</t>
        </is>
      </c>
      <c r="C42" s="4" t="n"/>
      <c r="D42" s="5" t="n"/>
      <c r="E42" s="3" t="inlineStr">
        <is>
          <t>공문 결재선(검토)을 볼 때</t>
        </is>
      </c>
      <c r="F42" s="4" t="n"/>
      <c r="G42" s="4" t="n"/>
      <c r="H42" s="5" t="n"/>
    </row>
    <row r="43" ht="22" customHeight="1">
      <c r="A43" s="17" t="inlineStr">
        <is>
          <t>홍길동</t>
        </is>
      </c>
      <c r="B43" s="3" t="inlineStr">
        <is>
          <t>재난안전과장</t>
        </is>
      </c>
      <c r="C43" s="4" t="n"/>
      <c r="D43" s="5" t="n"/>
      <c r="E43" s="3" t="inlineStr">
        <is>
          <t>보기만 한다 — 등록 버튼이 없는 게 정상</t>
        </is>
      </c>
      <c r="F43" s="4" t="n"/>
      <c r="G43" s="4" t="n"/>
      <c r="H43" s="5" t="n"/>
    </row>
    <row r="44" ht="22" customHeight="1">
      <c r="A44" s="17" t="inlineStr">
        <is>
          <t>김담양</t>
        </is>
      </c>
      <c r="B44" s="3" t="inlineStr">
        <is>
          <t>군수</t>
        </is>
      </c>
      <c r="C44" s="4" t="n"/>
      <c r="D44" s="5" t="n"/>
      <c r="E44" s="3" t="inlineStr">
        <is>
          <t>보기만 한다</t>
        </is>
      </c>
      <c r="F44" s="4" t="n"/>
      <c r="G44" s="4" t="n"/>
      <c r="H44" s="5" t="n"/>
    </row>
    <row r="46" ht="24" customHeight="1">
      <c r="A46" s="9" t="inlineStr">
        <is>
          <t>알아 두면 좋은 것 (결함이 아닙니다)</t>
        </is>
      </c>
    </row>
    <row r="47" ht="21" customHeight="1">
      <c r="A47" s="10" t="inlineStr">
        <is>
          <t>• 오늘 날짜가 2026-07-16 으로 고정돼 있습니다. 기한·D-day는 이 날 기준입니다.</t>
        </is>
      </c>
    </row>
    <row r="48" ht="21" customHeight="1">
      <c r="A48" s="10" t="inlineStr">
        <is>
          <t>• 입력한 데이터는 그 브라우저 탭에만 남습니다. 새 탭을 열면 처음 상태로 돌아갑니다(새로고침은 괜찮습니다).</t>
        </is>
      </c>
    </row>
    <row r="49" ht="21" customHeight="1">
      <c r="A49" s="10" t="inlineStr">
        <is>
          <t>• 파일 첨부는 파일 이름만 남습니다. 실제 파일을 열거나 받을 수는 없습니다.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과장·군수에게 등록·수정 버튼이 없는 것, 결재 승인·반려 버튼이 없는 것(결재는 온나라에서 합니다)은 정상입니다.</t>
        </is>
      </c>
    </row>
    <row r="52" ht="21" customHeight="1">
      <c r="A52" s="10" t="inlineStr">
        <is>
          <t>• 2025년 자료는 실제 문서이고, 2026년 자료는 «예시 자료»입니다.</t>
        </is>
      </c>
    </row>
    <row r="53" ht="21" customHeight="1">
      <c r="A53" s="10" t="inlineStr">
        <is>
          <t>• ---</t>
        </is>
      </c>
    </row>
  </sheetData>
  <mergeCells count="50">
    <mergeCell ref="B42:D42"/>
    <mergeCell ref="A48:H48"/>
    <mergeCell ref="A30:H30"/>
    <mergeCell ref="B9:H9"/>
    <mergeCell ref="A15:H15"/>
    <mergeCell ref="A51:H51"/>
    <mergeCell ref="B6:H6"/>
    <mergeCell ref="B24:H24"/>
    <mergeCell ref="A36:H36"/>
    <mergeCell ref="A49:H49"/>
    <mergeCell ref="B44:D44"/>
    <mergeCell ref="A1:H1"/>
    <mergeCell ref="E41:H41"/>
    <mergeCell ref="B5:H5"/>
    <mergeCell ref="B38:D38"/>
    <mergeCell ref="E37:H37"/>
    <mergeCell ref="B37:D37"/>
    <mergeCell ref="B26:H26"/>
    <mergeCell ref="B4:H4"/>
    <mergeCell ref="A16:H16"/>
    <mergeCell ref="E43:H43"/>
    <mergeCell ref="B40:D40"/>
    <mergeCell ref="B7:H7"/>
    <mergeCell ref="B25:H25"/>
    <mergeCell ref="B3:H3"/>
    <mergeCell ref="E42:H42"/>
    <mergeCell ref="A18:H18"/>
    <mergeCell ref="B22:H22"/>
    <mergeCell ref="A50:H50"/>
    <mergeCell ref="E39:H39"/>
    <mergeCell ref="B27:H27"/>
    <mergeCell ref="B41:D41"/>
    <mergeCell ref="B21:H21"/>
    <mergeCell ref="E38:H38"/>
    <mergeCell ref="E44:H44"/>
    <mergeCell ref="A33:H33"/>
    <mergeCell ref="A14:H14"/>
    <mergeCell ref="A47:H47"/>
    <mergeCell ref="B11:H11"/>
    <mergeCell ref="A32:H32"/>
    <mergeCell ref="B23:H23"/>
    <mergeCell ref="A17:H17"/>
    <mergeCell ref="B8:H8"/>
    <mergeCell ref="E40:H40"/>
    <mergeCell ref="A53:H53"/>
    <mergeCell ref="A52:H52"/>
    <mergeCell ref="B10:H10"/>
    <mergeCell ref="B43:D43"/>
    <mergeCell ref="B39:D39"/>
    <mergeCell ref="A31:H31"/>
  </mergeCells>
  <dataValidations count="2">
    <dataValidation sqref="B9" showDropDown="0" showInputMessage="0" showErrorMessage="0" allowBlank="1" type="list">
      <formula1>"크롬,엣지,웨일,사파리,파이어폭스,기타"</formula1>
    </dataValidation>
    <dataValidation sqref="B10" showDropDown="0" showInputMessage="0" showErrorMessage="0" allowBlank="1" type="list">
      <formula1>"윈도우 PC,맥,태블릿,휴대폰"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안전보건교육 · 윤한빛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근로자 명단</t>
        </is>
      </c>
      <c r="B5" s="21">
        <f>COUNTA('1 근로자 명단'!$A$4:$A$12)</f>
        <v>9</v>
      </c>
      <c r="C5" s="21">
        <f>COUNTIF('1 근로자 명단'!$G$4:$G$12,"성공")</f>
        <v>0</v>
      </c>
      <c r="D5" s="21">
        <f>COUNTIF('1 근로자 명단'!$G$4:$G$12,"실패")</f>
        <v>0</v>
      </c>
      <c r="E5" s="21">
        <f>COUNTIF('1 근로자 명단'!$G$4:$G$12,"오류")</f>
        <v>0</v>
      </c>
      <c r="F5" s="21">
        <f>COUNTIF('1 근로자 명단'!$G$4:$G$12,"보류")</f>
        <v>0</v>
      </c>
      <c r="G5" s="21">
        <f>COUNTIF('1 근로자 명단'!$G$4:$G$12,"확인 불가")</f>
        <v>0</v>
      </c>
      <c r="H5" s="21">
        <f>COUNTIF('1 근로자 명단'!$G$4:$G$12,"문의")</f>
        <v>0</v>
      </c>
      <c r="I5" s="21">
        <f>COUNTBLANK('1 근로자 명단'!$G$4:$G$12)</f>
        <v>9</v>
      </c>
      <c r="J5" s="22">
        <f>IF(B5=0,0,(B5-I5)/B5)</f>
        <v>0</v>
      </c>
    </row>
    <row r="6" ht="22" customHeight="1">
      <c r="A6" s="20" t="inlineStr">
        <is>
          <t>2 정기교육(집합)</t>
        </is>
      </c>
      <c r="B6" s="21">
        <f>COUNTA('2 정기교육(집합)'!$A$4:$A$18)</f>
        <v>15</v>
      </c>
      <c r="C6" s="21">
        <f>COUNTIF('2 정기교육(집합)'!$G$4:$G$18,"성공")</f>
        <v>0</v>
      </c>
      <c r="D6" s="21">
        <f>COUNTIF('2 정기교육(집합)'!$G$4:$G$18,"실패")</f>
        <v>0</v>
      </c>
      <c r="E6" s="21">
        <f>COUNTIF('2 정기교육(집합)'!$G$4:$G$18,"오류")</f>
        <v>0</v>
      </c>
      <c r="F6" s="21">
        <f>COUNTIF('2 정기교육(집합)'!$G$4:$G$18,"보류")</f>
        <v>0</v>
      </c>
      <c r="G6" s="21">
        <f>COUNTIF('2 정기교육(집합)'!$G$4:$G$18,"확인 불가")</f>
        <v>0</v>
      </c>
      <c r="H6" s="21">
        <f>COUNTIF('2 정기교육(집합)'!$G$4:$G$18,"문의")</f>
        <v>0</v>
      </c>
      <c r="I6" s="21">
        <f>COUNTBLANK('2 정기교육(집합)'!$G$4:$G$18)</f>
        <v>15</v>
      </c>
      <c r="J6" s="22">
        <f>IF(B6=0,0,(B6-I6)/B6)</f>
        <v>0</v>
      </c>
    </row>
    <row r="7" ht="22" customHeight="1">
      <c r="A7" s="20" t="inlineStr">
        <is>
          <t>3 자체·채용시·기타</t>
        </is>
      </c>
      <c r="B7" s="21">
        <f>COUNTA('3 자체·채용시·기타'!$A$4:$A$17)</f>
        <v>14</v>
      </c>
      <c r="C7" s="21">
        <f>COUNTIF('3 자체·채용시·기타'!$G$4:$G$17,"성공")</f>
        <v>0</v>
      </c>
      <c r="D7" s="21">
        <f>COUNTIF('3 자체·채용시·기타'!$G$4:$G$17,"실패")</f>
        <v>0</v>
      </c>
      <c r="E7" s="21">
        <f>COUNTIF('3 자체·채용시·기타'!$G$4:$G$17,"오류")</f>
        <v>0</v>
      </c>
      <c r="F7" s="21">
        <f>COUNTIF('3 자체·채용시·기타'!$G$4:$G$17,"보류")</f>
        <v>0</v>
      </c>
      <c r="G7" s="21">
        <f>COUNTIF('3 자체·채용시·기타'!$G$4:$G$17,"확인 불가")</f>
        <v>0</v>
      </c>
      <c r="H7" s="21">
        <f>COUNTIF('3 자체·채용시·기타'!$G$4:$G$17,"문의")</f>
        <v>0</v>
      </c>
      <c r="I7" s="21">
        <f>COUNTBLANK('3 자체·채용시·기타'!$G$4:$G$17)</f>
        <v>14</v>
      </c>
      <c r="J7" s="22">
        <f>IF(B7=0,0,(B7-I7)/B7)</f>
        <v>0</v>
      </c>
    </row>
    <row r="8" ht="22" customHeight="1">
      <c r="A8" s="20" t="inlineStr">
        <is>
          <t>4 이수현황</t>
        </is>
      </c>
      <c r="B8" s="21">
        <f>COUNTA('4 이수현황'!$A$4:$A$10)</f>
        <v>7</v>
      </c>
      <c r="C8" s="21">
        <f>COUNTIF('4 이수현황'!$G$4:$G$10,"성공")</f>
        <v>0</v>
      </c>
      <c r="D8" s="21">
        <f>COUNTIF('4 이수현황'!$G$4:$G$10,"실패")</f>
        <v>0</v>
      </c>
      <c r="E8" s="21">
        <f>COUNTIF('4 이수현황'!$G$4:$G$10,"오류")</f>
        <v>0</v>
      </c>
      <c r="F8" s="21">
        <f>COUNTIF('4 이수현황'!$G$4:$G$10,"보류")</f>
        <v>0</v>
      </c>
      <c r="G8" s="21">
        <f>COUNTIF('4 이수현황'!$G$4:$G$10,"확인 불가")</f>
        <v>0</v>
      </c>
      <c r="H8" s="21">
        <f>COUNTIF('4 이수현황'!$G$4:$G$10,"문의")</f>
        <v>0</v>
      </c>
      <c r="I8" s="21">
        <f>COUNTBLANK('4 이수현황'!$G$4:$G$10)</f>
        <v>7</v>
      </c>
      <c r="J8" s="22">
        <f>IF(B8=0,0,(B8-I8)/B8)</f>
        <v>0</v>
      </c>
    </row>
    <row r="9" ht="22" customHeight="1">
      <c r="A9" s="20" t="inlineStr">
        <is>
          <t>5 공문·결재 이력</t>
        </is>
      </c>
      <c r="B9" s="21">
        <f>COUNTA('5 공문·결재 이력'!$A$4:$A$11)</f>
        <v>8</v>
      </c>
      <c r="C9" s="21">
        <f>COUNTIF('5 공문·결재 이력'!$G$4:$G$11,"성공")</f>
        <v>0</v>
      </c>
      <c r="D9" s="21">
        <f>COUNTIF('5 공문·결재 이력'!$G$4:$G$11,"실패")</f>
        <v>0</v>
      </c>
      <c r="E9" s="21">
        <f>COUNTIF('5 공문·결재 이력'!$G$4:$G$11,"오류")</f>
        <v>0</v>
      </c>
      <c r="F9" s="21">
        <f>COUNTIF('5 공문·결재 이력'!$G$4:$G$11,"보류")</f>
        <v>0</v>
      </c>
      <c r="G9" s="21">
        <f>COUNTIF('5 공문·결재 이력'!$G$4:$G$11,"확인 불가")</f>
        <v>0</v>
      </c>
      <c r="H9" s="21">
        <f>COUNTIF('5 공문·결재 이력'!$G$4:$G$11,"문의")</f>
        <v>0</v>
      </c>
      <c r="I9" s="21">
        <f>COUNTBLANK('5 공문·결재 이력'!$G$4:$G$11)</f>
        <v>8</v>
      </c>
      <c r="J9" s="22">
        <f>IF(B9=0,0,(B9-I9)/B9)</f>
        <v>0</v>
      </c>
    </row>
    <row r="10" ht="22" customHeight="1">
      <c r="A10" s="20" t="inlineStr">
        <is>
          <t>6 계정별 차이</t>
        </is>
      </c>
      <c r="B10" s="21">
        <f>COUNTA('6 계정별 차이'!$A$4:$A$8)</f>
        <v>5</v>
      </c>
      <c r="C10" s="21">
        <f>COUNTIF('6 계정별 차이'!$G$4:$G$8,"성공")</f>
        <v>0</v>
      </c>
      <c r="D10" s="21">
        <f>COUNTIF('6 계정별 차이'!$G$4:$G$8,"실패")</f>
        <v>0</v>
      </c>
      <c r="E10" s="21">
        <f>COUNTIF('6 계정별 차이'!$G$4:$G$8,"오류")</f>
        <v>0</v>
      </c>
      <c r="F10" s="21">
        <f>COUNTIF('6 계정별 차이'!$G$4:$G$8,"보류")</f>
        <v>0</v>
      </c>
      <c r="G10" s="21">
        <f>COUNTIF('6 계정별 차이'!$G$4:$G$8,"확인 불가")</f>
        <v>0</v>
      </c>
      <c r="H10" s="21">
        <f>COUNTIF('6 계정별 차이'!$G$4:$G$8,"문의")</f>
        <v>0</v>
      </c>
      <c r="I10" s="21">
        <f>COUNTBLANK('6 계정별 차이'!$G$4:$G$8)</f>
        <v>5</v>
      </c>
      <c r="J10" s="22">
        <f>IF(B10=0,0,(B10-I10)/B10)</f>
        <v>0</v>
      </c>
    </row>
    <row r="11" ht="24" customHeight="1">
      <c r="A11" s="23" t="inlineStr">
        <is>
          <t>합계</t>
        </is>
      </c>
      <c r="B11" s="24">
        <f>SUM(B5:B10)</f>
        <v>58</v>
      </c>
      <c r="C11" s="24">
        <f>SUM(C5:C10)</f>
        <v>0</v>
      </c>
      <c r="D11" s="24">
        <f>SUM(D5:D10)</f>
        <v>0</v>
      </c>
      <c r="E11" s="24">
        <f>SUM(E5:E10)</f>
        <v>0</v>
      </c>
      <c r="F11" s="24">
        <f>SUM(F5:F10)</f>
        <v>0</v>
      </c>
      <c r="G11" s="24">
        <f>SUM(G5:G10)</f>
        <v>0</v>
      </c>
      <c r="H11" s="24">
        <f>SUM(H5:H10)</f>
        <v>0</v>
      </c>
      <c r="I11" s="24">
        <f>SUM(I5:I10)</f>
        <v>58</v>
      </c>
      <c r="J11" s="25">
        <f>IF(B11=0,0,(B11-I11)/B11)</f>
        <v>0</v>
      </c>
    </row>
  </sheetData>
  <mergeCells count="2">
    <mergeCell ref="A1:J1"/>
    <mergeCell ref="A2:J2"/>
  </mergeCells>
  <conditionalFormatting sqref="J5:J11">
    <cfRule type="dataBar" priority="1">
      <dataBar showValue="1">
        <cfvo type="num" val="0"/>
        <cfvo type="num" val="1"/>
        <color rgb="0063BE7B"/>
      </dataBar>
    </cfRule>
  </conditionalFormatting>
  <conditionalFormatting sqref="D5:D11">
    <cfRule type="cellIs" priority="2" operator="greaterThan" dxfId="0">
      <formula>0</formula>
    </cfRule>
  </conditionalFormatting>
  <conditionalFormatting sqref="E5:E11">
    <cfRule type="cellIs" priority="3" operator="greaterThan" dxfId="0">
      <formula>0</formula>
    </cfRule>
  </conditionalFormatting>
  <conditionalFormatting sqref="H5:H11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2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1 근로자 명단</t>
        </is>
      </c>
    </row>
    <row r="2" ht="24" customHeight="1">
      <c r="A2" s="26" t="inlineStr">
        <is>
          <t>🗂 새 탭에서 시작하세요. 1~5번 시트는 이 탭 하나에서 이어서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</v>
      </c>
      <c r="B4" s="3" t="inlineStr">
        <is>
          <t>박안전</t>
        </is>
      </c>
      <c r="C4" s="3" t="inlineStr">
        <is>
          <t>안전보건교육 &gt; 근로자 명단 관리</t>
        </is>
      </c>
      <c r="D4" s="17" t="inlineStr">
        <is>
          <t>목록 조건 걸기</t>
        </is>
      </c>
      <c r="E4" s="3" t="inlineStr">
        <is>
          <t>검색·부서·구분·고용형태 조건을 하나씩 건다 → [필터 초기화]</t>
        </is>
      </c>
      <c r="F4" s="3" t="inlineStr">
        <is>
          <t>조건마다 건수가 바뀌고 초기화하면 전체로 돌아온다</t>
        </is>
      </c>
      <c r="G4" s="29" t="n"/>
      <c r="H4" s="7" t="n"/>
      <c r="I4" s="7" t="n"/>
    </row>
    <row r="5" ht="51" customHeight="1">
      <c r="A5" s="28" t="n">
        <v>2</v>
      </c>
      <c r="B5" s="30" t="inlineStr">
        <is>
          <t>박안전</t>
        </is>
      </c>
      <c r="C5" s="30" t="inlineStr">
        <is>
          <t>안전보건교육 &gt; 근로자 명단 관리</t>
        </is>
      </c>
      <c r="D5" s="17" t="inlineStr">
        <is>
          <t>근로자 등록</t>
        </is>
      </c>
      <c r="E5" s="3" t="inlineStr">
        <is>
          <t>[＋ 직접 등록] → 이름 QA_근로자01 · 부서 물순환사업소 · 구분 근로자 · 계약직 · 채용일 2026-07-01 · 계약기간 6 → [등록]</t>
        </is>
      </c>
      <c r="F5" s="3" t="inlineStr">
        <is>
          <t>«QA_근로자01 근로자 등록 완료»가 뜨고 목록에 보인다</t>
        </is>
      </c>
      <c r="G5" s="29" t="n"/>
      <c r="H5" s="7" t="n"/>
      <c r="I5" s="7" t="n"/>
    </row>
    <row r="6" ht="36" customHeight="1">
      <c r="A6" s="28" t="n">
        <v>3</v>
      </c>
      <c r="B6" s="30" t="inlineStr">
        <is>
          <t>박안전</t>
        </is>
      </c>
      <c r="C6" s="30" t="inlineStr">
        <is>
          <t>안전보건교육 &gt; 근로자 명단 관리</t>
        </is>
      </c>
      <c r="D6" s="17" t="inlineStr">
        <is>
          <t>빈 칸이면 등록되지 않는다</t>
        </is>
      </c>
      <c r="E6" s="3" t="inlineStr">
        <is>
          <t>이름 비움 / 채용일 비움 / 계약직인데 계약기간 비움 — 각각 [등록]</t>
        </is>
      </c>
      <c r="F6" s="3" t="inlineStr">
        <is>
          <t>무엇을 넣으라고 알려 주고 등록되지 않는다(«등록 완료»가 뜨면 실패)</t>
        </is>
      </c>
      <c r="G6" s="29" t="n"/>
      <c r="H6" s="7" t="n"/>
      <c r="I6" s="7" t="n"/>
    </row>
    <row r="7" ht="36" customHeight="1">
      <c r="A7" s="28" t="n">
        <v>4</v>
      </c>
      <c r="B7" s="30" t="inlineStr">
        <is>
          <t>박안전</t>
        </is>
      </c>
      <c r="C7" s="30" t="inlineStr">
        <is>
          <t>안전보건교육 &gt; 근로자 명단 관리</t>
        </is>
      </c>
      <c r="D7" s="17" t="inlineStr">
        <is>
          <t>관리감독자 지정일 넣기</t>
        </is>
      </c>
      <c r="E7" s="3" t="inlineStr">
        <is>
          <t>관리감독자 줄의 [지정일 등록] → 비우고 저장 → 내일 날짜로 저장 → 2026-07-01 로 저장</t>
        </is>
      </c>
      <c r="F7" s="3" t="inlineStr">
        <is>
          <t>빈 칸·미래 날짜는 막히고 과거 날짜는 «관리감독자 지정일을 저장했습니다.»</t>
        </is>
      </c>
      <c r="G7" s="29" t="n"/>
      <c r="H7" s="7" t="n"/>
      <c r="I7" s="7" t="n"/>
    </row>
    <row r="8" ht="51" customHeight="1">
      <c r="A8" s="28" t="n">
        <v>5</v>
      </c>
      <c r="B8" s="3" t="inlineStr">
        <is>
          <t>하정수</t>
        </is>
      </c>
      <c r="C8" s="30" t="inlineStr">
        <is>
          <t>안전보건교육 &gt; 근로자 명단 관리</t>
        </is>
      </c>
      <c r="D8" s="17" t="inlineStr">
        <is>
          <t>지정일은 재난안전과만 넣는다</t>
        </is>
      </c>
      <c r="E8" s="3" t="inlineStr">
        <is>
          <t>① 관리감독자 줄을 본다
② 등록 창에서 구분을 관리감독자로 골라 등록한다</t>
        </is>
      </c>
      <c r="F8" s="3" t="inlineStr">
        <is>
          <t>[지정일 등록]이 없고, 관리감독자 등록은 «…재난안전과 담당자에게 요청하세요»로 막힌다</t>
        </is>
      </c>
      <c r="G8" s="29" t="n"/>
      <c r="H8" s="7" t="n"/>
      <c r="I8" s="7" t="n"/>
    </row>
    <row r="9" ht="36" customHeight="1">
      <c r="A9" s="28" t="n">
        <v>6</v>
      </c>
      <c r="B9" s="30" t="inlineStr">
        <is>
          <t>하정수</t>
        </is>
      </c>
      <c r="C9" s="30" t="inlineStr">
        <is>
          <t>안전보건교육 &gt; 근로자 명단 관리</t>
        </is>
      </c>
      <c r="D9" s="17" t="inlineStr">
        <is>
          <t>부서 담당자의 등록 창</t>
        </is>
      </c>
      <c r="E9" s="3" t="inlineStr">
        <is>
          <t>[＋ 직접 등록]을 연다</t>
        </is>
      </c>
      <c r="F9" s="3" t="inlineStr">
        <is>
          <t>부서 칸이 물순환사업소로 고정돼 있다</t>
        </is>
      </c>
      <c r="G9" s="29" t="n"/>
      <c r="H9" s="7" t="n"/>
      <c r="I9" s="7" t="n"/>
    </row>
    <row r="10" ht="36" customHeight="1">
      <c r="A10" s="28" t="n">
        <v>7</v>
      </c>
      <c r="B10" s="3" t="inlineStr">
        <is>
          <t>박안전</t>
        </is>
      </c>
      <c r="C10" s="30" t="inlineStr">
        <is>
          <t>안전보건교육 &gt; 근로자 명단 관리</t>
        </is>
      </c>
      <c r="D10" s="17" t="inlineStr">
        <is>
          <t>이름만 고치기</t>
        </is>
      </c>
      <c r="E10" s="3" t="inlineStr">
        <is>
          <t>QA_근로자01 [수정] → 이름만 바꿔 저장 → 다시 원래대로</t>
        </is>
      </c>
      <c r="F10" s="3" t="inlineStr">
        <is>
          <t>«근로자 정보 저장» — 손대지 않은 계약기간 때문에 막히지 않는다</t>
        </is>
      </c>
      <c r="G10" s="29" t="n"/>
      <c r="H10" s="7" t="n"/>
      <c r="I10" s="7" t="n"/>
    </row>
    <row r="11" ht="36" customHeight="1">
      <c r="A11" s="28" t="n">
        <v>8</v>
      </c>
      <c r="B11" s="30" t="inlineStr">
        <is>
          <t>박안전</t>
        </is>
      </c>
      <c r="C11" s="30" t="inlineStr">
        <is>
          <t>안전보건교육 &gt; 근로자 명단 관리</t>
        </is>
      </c>
      <c r="D11" s="17" t="inlineStr">
        <is>
          <t>삭제는 한 번 더 묻는다</t>
        </is>
      </c>
      <c r="E11" s="3" t="inlineStr">
        <is>
          <t>한 명을 더 등록 → 그 사람 [삭제] → 확인</t>
        </is>
      </c>
      <c r="F11" s="3" t="inlineStr">
        <is>
          <t>확인 창을 거친 뒤 «근로자를 명단에서 제외했습니다.»</t>
        </is>
      </c>
      <c r="G11" s="29" t="n"/>
      <c r="H11" s="7" t="n"/>
      <c r="I11" s="7" t="n"/>
    </row>
    <row r="12" ht="36" customHeight="1">
      <c r="A12" s="28" t="n">
        <v>9</v>
      </c>
      <c r="B12" s="3" t="inlineStr">
        <is>
          <t>하정수</t>
        </is>
      </c>
      <c r="C12" s="30" t="inlineStr">
        <is>
          <t>안전보건교육 &gt; 근로자 명단 관리</t>
        </is>
      </c>
      <c r="D12" s="17" t="inlineStr">
        <is>
          <t>엑셀 업로드</t>
        </is>
      </c>
      <c r="E12" s="3" t="inlineStr">
        <is>
          <t>[📥 엑셀 업로드] → [업로드]</t>
        </is>
      </c>
      <c r="F12" s="3" t="inlineStr">
        <is>
          <t>창에 «목업» 같은 말이 없고 «예시 계약직 근로자 4명»을 알려 준 뒤 목록이 4명 늘어난다</t>
        </is>
      </c>
      <c r="G12" s="29" t="n"/>
      <c r="H12" s="7" t="n"/>
      <c r="I12" s="7" t="n"/>
    </row>
  </sheetData>
  <autoFilter ref="A3:I12"/>
  <mergeCells count="2">
    <mergeCell ref="A1:I1"/>
    <mergeCell ref="A2:I2"/>
  </mergeCells>
  <conditionalFormatting sqref="G4:G12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2">
    <cfRule type="expression" priority="7" dxfId="7">
      <formula>AND(OR($G4="실패",$G4="오류",$G4="문의"),$H4="")</formula>
    </cfRule>
  </conditionalFormatting>
  <dataValidations count="1">
    <dataValidation sqref="G4:G12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2 정기교육(집합)</t>
        </is>
      </c>
    </row>
    <row r="2" ht="24" customHeight="1">
      <c r="A2" s="26" t="inlineStr">
        <is>
          <t>🗂 앞 시트와 같은 탭에서 이어서 하세요. 재난안전과가 집합교육을 만들고 → 부서가 참석자를 내고 → 재난안전과가 종료합니다.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10</v>
      </c>
      <c r="B4" s="3" t="inlineStr">
        <is>
          <t>박안전</t>
        </is>
      </c>
      <c r="C4" s="3" t="inlineStr">
        <is>
          <t>안전보건교육 &gt; 현업근로자 &gt; 정기교육</t>
        </is>
      </c>
      <c r="D4" s="17" t="inlineStr">
        <is>
          <t>탭 바꾸기</t>
        </is>
      </c>
      <c r="E4" s="3" t="inlineStr">
        <is>
          <t>[집합교육] ↔ [자체교육(부서)]를 바꾸고 조건을 몇 개 건다</t>
        </is>
      </c>
      <c r="F4" s="3" t="inlineStr">
        <is>
          <t>오류 없이 바뀌고 조건대로 걸러진다</t>
        </is>
      </c>
      <c r="G4" s="29" t="n"/>
      <c r="H4" s="7" t="n"/>
      <c r="I4" s="7" t="n"/>
    </row>
    <row r="5" ht="51" customHeight="1">
      <c r="A5" s="28" t="n">
        <v>11</v>
      </c>
      <c r="B5" s="3" t="inlineStr">
        <is>
          <t>하정수 → 홍길동</t>
        </is>
      </c>
      <c r="C5" s="30" t="inlineStr">
        <is>
          <t>안전보건교육 &gt; 현업근로자 &gt; 정기교육</t>
        </is>
      </c>
      <c r="D5" s="17" t="inlineStr">
        <is>
          <t>집합교육은 재난안전과만 만든다</t>
        </is>
      </c>
      <c r="E5" s="3" t="inlineStr">
        <is>
          <t>집합교육 탭을 본다</t>
        </is>
      </c>
      <c r="F5" s="3" t="inlineStr">
        <is>
          <t>하정수에게 [＋ 집합교육 등록]이 없고 «…재난안전과 담당자가 등록합니다»가 보인다. 홍길동은 조회 전용</t>
        </is>
      </c>
      <c r="G5" s="29" t="n"/>
      <c r="H5" s="7" t="n"/>
      <c r="I5" s="7" t="n"/>
    </row>
    <row r="6" ht="51" customHeight="1">
      <c r="A6" s="28" t="n">
        <v>12</v>
      </c>
      <c r="B6" s="3" t="inlineStr">
        <is>
          <t>박안전</t>
        </is>
      </c>
      <c r="C6" s="30" t="inlineStr">
        <is>
          <t>안전보건교육 &gt; 현업근로자 &gt; 정기교육</t>
        </is>
      </c>
      <c r="D6" s="17" t="inlineStr">
        <is>
          <t>집합교육 등록</t>
        </is>
      </c>
      <c r="E6" s="3" t="inlineStr">
        <is>
          <t>[＋ 집합교육 등록] → 빈 채로 [등록] → 내용 QA_정기교육_집합 · 2026-07-20 14:00~16:00 · 강사 · 장소 → [등록]</t>
        </is>
      </c>
      <c r="F6" s="3" t="inlineStr">
        <is>
          <t>빈 채로는 «교육 내용을 입력하세요.» 등록하면 카드가 생기고 교육시간이 2h로 계산된다</t>
        </is>
      </c>
      <c r="G6" s="29" t="n"/>
      <c r="H6" s="7" t="n"/>
      <c r="I6" s="7" t="n"/>
    </row>
    <row r="7" ht="66" customHeight="1">
      <c r="A7" s="28" t="n">
        <v>13</v>
      </c>
      <c r="B7" s="30" t="inlineStr">
        <is>
          <t>박안전</t>
        </is>
      </c>
      <c r="C7" s="30" t="inlineStr">
        <is>
          <t>안전보건교육 &gt; 현업근로자 &gt; 정기교육</t>
        </is>
      </c>
      <c r="D7" s="17" t="inlineStr">
        <is>
          <t>여러 날 교육</t>
        </is>
      </c>
      <c r="E7" s="3" t="inlineStr">
        <is>
          <t>등록 창에서 ① 날짜를 5개까지 추가하고 한 번 더
② 한 날의 끝 시각을 시작보다 이르게
③ 고쳐서 2일짜리로 등록</t>
        </is>
      </c>
      <c r="F7" s="3" t="inlineStr">
        <is>
          <t>«최대 5일까지» 안내가 뜨고 끝이 시작보다 이르면 막힌다. 카드에 «…외 1일», 시간은 두 날의 합</t>
        </is>
      </c>
      <c r="G7" s="29" t="n"/>
      <c r="H7" s="7" t="n"/>
      <c r="I7" s="7" t="n"/>
    </row>
    <row r="8" ht="36" customHeight="1">
      <c r="A8" s="28" t="n">
        <v>14</v>
      </c>
      <c r="B8" s="30" t="inlineStr">
        <is>
          <t>박안전</t>
        </is>
      </c>
      <c r="C8" s="30" t="inlineStr">
        <is>
          <t>안전보건교육 &gt; 현업근로자 &gt; 정기교육</t>
        </is>
      </c>
      <c r="D8" s="17" t="inlineStr">
        <is>
          <t>집합교육 첨부 칸</t>
        </is>
      </c>
      <c r="E8" s="3" t="inlineStr">
        <is>
          <t>등록 창의 첨부 영역을 본다</t>
        </is>
      </c>
      <c r="F8" s="3" t="inlineStr">
        <is>
          <t>«참석자 명단 · 교육 자료» 두 칸이 있고 교육 사진 칸은 없다</t>
        </is>
      </c>
      <c r="G8" s="29" t="n"/>
      <c r="H8" s="7" t="n"/>
      <c r="I8" s="7" t="n"/>
    </row>
    <row r="9" ht="51" customHeight="1">
      <c r="A9" s="28" t="n">
        <v>15</v>
      </c>
      <c r="B9" s="30" t="inlineStr">
        <is>
          <t>박안전</t>
        </is>
      </c>
      <c r="C9" s="30" t="inlineStr">
        <is>
          <t>안전보건교육 &gt; 현업근로자 &gt; 정기교육</t>
        </is>
      </c>
      <c r="D9" s="17" t="inlineStr">
        <is>
          <t>기존 교육을 그대로 저장</t>
        </is>
      </c>
      <c r="E9" s="3" t="inlineStr">
        <is>
          <t>«2026년 8월 정기 안전보건교육» [수정] → 아무것도 안 바꾸고 [저장]</t>
        </is>
      </c>
      <c r="F9" s="3" t="inlineStr">
        <is>
          <t>끝 시각 17:00이 채워져 있고 «교육 정보를 저장했습니다 · 교육시간 3h»가 뜬다(저장이 막히면 실패)</t>
        </is>
      </c>
      <c r="G9" s="29" t="n"/>
      <c r="H9" s="7" t="n"/>
      <c r="I9" s="7" t="n"/>
    </row>
    <row r="10" ht="81" customHeight="1">
      <c r="A10" s="28" t="n">
        <v>16</v>
      </c>
      <c r="B10" s="3" t="inlineStr">
        <is>
          <t>하정수</t>
        </is>
      </c>
      <c r="C10" s="30" t="inlineStr">
        <is>
          <t>안전보건교육 &gt; 현업근로자 &gt; 정기교육</t>
        </is>
      </c>
      <c r="D10" s="17" t="inlineStr">
        <is>
          <t>참석자 등록부 내기</t>
        </is>
      </c>
      <c r="E10" s="3" t="inlineStr">
        <is>
          <t>위 12번 교육 상세 → [＋ 참석자 등록부 등록] → ① 아무도 안 고르고
② 2명 고르고 서명파일 없이
③ 서명파일을 넣고 참석시간 3 → 2로 고쳐 [신청 완료]</t>
        </is>
      </c>
      <c r="F10" s="3" t="inlineStr">
        <is>
          <t>빈 것마다 막히고, 마지막에 «물순환사업소 · 2명 신청 완료». 부서는 물순환사업소로 고정</t>
        </is>
      </c>
      <c r="G10" s="29" t="n"/>
      <c r="H10" s="7" t="n"/>
      <c r="I10" s="7" t="n"/>
    </row>
    <row r="11" ht="36" customHeight="1">
      <c r="A11" s="28" t="n">
        <v>17</v>
      </c>
      <c r="B11" s="30" t="inlineStr">
        <is>
          <t>하정수</t>
        </is>
      </c>
      <c r="C11" s="30" t="inlineStr">
        <is>
          <t>안전보건교육 &gt; 현업근로자 &gt; 정기교육</t>
        </is>
      </c>
      <c r="D11" s="17" t="inlineStr">
        <is>
          <t>같은 부서는 두 번 못 낸다</t>
        </is>
      </c>
      <c r="E11" s="3" t="inlineStr">
        <is>
          <t>같은 교육에 다시 등록부를 낸다</t>
        </is>
      </c>
      <c r="F11" s="3" t="inlineStr">
        <is>
          <t>«…이미 등록된 부서입니다 — 신청 취소 후 다시 등록하세요.»</t>
        </is>
      </c>
      <c r="G11" s="29" t="n"/>
      <c r="H11" s="7" t="n"/>
      <c r="I11" s="7" t="n"/>
    </row>
    <row r="12" ht="36" customHeight="1">
      <c r="A12" s="28" t="n">
        <v>18</v>
      </c>
      <c r="B12" s="3" t="inlineStr">
        <is>
          <t>정환경</t>
        </is>
      </c>
      <c r="C12" s="30" t="inlineStr">
        <is>
          <t>안전보건교육 &gt; 현업근로자 &gt; 정기교육</t>
        </is>
      </c>
      <c r="D12" s="17" t="inlineStr">
        <is>
          <t>다른 부서 담당자</t>
        </is>
      </c>
      <c r="E12" s="3" t="inlineStr">
        <is>
          <t>같은 교육 상세 → 환경과로 1명 신청 → 물순환사업소 줄을 본다</t>
        </is>
      </c>
      <c r="F12" s="3" t="inlineStr">
        <is>
          <t>환경과로 신청된다. 물순환사업소 줄에는 [등록 취소]가 없다</t>
        </is>
      </c>
      <c r="G12" s="29" t="n"/>
      <c r="H12" s="7" t="n"/>
      <c r="I12" s="7" t="n"/>
    </row>
    <row r="13" ht="36" customHeight="1">
      <c r="A13" s="28" t="n">
        <v>19</v>
      </c>
      <c r="B13" s="3" t="inlineStr">
        <is>
          <t>하정수</t>
        </is>
      </c>
      <c r="C13" s="30" t="inlineStr">
        <is>
          <t>안전보건교육 &gt; 현업근로자 &gt; 정기교육</t>
        </is>
      </c>
      <c r="D13" s="17" t="inlineStr">
        <is>
          <t>등록 취소하고 다시 내기</t>
        </is>
      </c>
      <c r="E13" s="3" t="inlineStr">
        <is>
          <t>자기 부서 줄 [등록 취소] → 확인 → 다시 2명 신청</t>
        </is>
      </c>
      <c r="F13" s="3" t="inlineStr">
        <is>
          <t>«신청 내역과 서명파일이 삭제됩니다»를 확인한 뒤 줄어들고, 다시 신청된다</t>
        </is>
      </c>
      <c r="G13" s="29" t="n"/>
      <c r="H13" s="7" t="n"/>
      <c r="I13" s="7" t="n"/>
    </row>
    <row r="14" ht="36" customHeight="1">
      <c r="A14" s="28" t="n">
        <v>20</v>
      </c>
      <c r="B14" s="3" t="inlineStr">
        <is>
          <t>박안전</t>
        </is>
      </c>
      <c r="C14" s="30" t="inlineStr">
        <is>
          <t>안전보건교육 &gt; 현업근로자 &gt; 정기교육</t>
        </is>
      </c>
      <c r="D14" s="17" t="inlineStr">
        <is>
          <t>교육 종료 처리</t>
        </is>
      </c>
      <c r="E14" s="3" t="inlineStr">
        <is>
          <t>위 12번 교육 상세 → [교육 종료 처리] → 확인</t>
        </is>
      </c>
      <c r="F14" s="3" t="inlineStr">
        <is>
          <t>창이 신청 부서·인원을 알려 주고 «교육 종료 · N명 카운트 완료», 상태가 완료로 바뀐다</t>
        </is>
      </c>
      <c r="G14" s="29" t="n"/>
      <c r="H14" s="7" t="n"/>
      <c r="I14" s="7" t="n"/>
    </row>
    <row r="15" ht="36" customHeight="1">
      <c r="A15" s="28" t="n">
        <v>21</v>
      </c>
      <c r="B15" s="3" t="inlineStr">
        <is>
          <t>하정수 → 홍길동</t>
        </is>
      </c>
      <c r="C15" s="30" t="inlineStr">
        <is>
          <t>안전보건교육 &gt; 현업근로자 &gt; 정기교육</t>
        </is>
      </c>
      <c r="D15" s="17" t="inlineStr">
        <is>
          <t>종료 처리는 재난안전과만</t>
        </is>
      </c>
      <c r="E15" s="3" t="inlineStr">
        <is>
          <t>진행 중인 다른 집합교육 상세를 본다</t>
        </is>
      </c>
      <c r="F15" s="3" t="inlineStr">
        <is>
          <t>[교육 종료 처리]가 없다</t>
        </is>
      </c>
      <c r="G15" s="29" t="n"/>
      <c r="H15" s="7" t="n"/>
      <c r="I15" s="7" t="n"/>
    </row>
    <row r="16" ht="36" customHeight="1">
      <c r="A16" s="28" t="n">
        <v>22</v>
      </c>
      <c r="B16" s="3" t="inlineStr">
        <is>
          <t>박안전</t>
        </is>
      </c>
      <c r="C16" s="30" t="inlineStr">
        <is>
          <t>안전보건교육 &gt; 현업근로자 &gt; 정기교육</t>
        </is>
      </c>
      <c r="D16" s="17" t="inlineStr">
        <is>
          <t>종료 뒤 정정은 사유가 필요</t>
        </is>
      </c>
      <c r="E16" s="3" t="inlineStr">
        <is>
          <t>20번에서 종료한 교육의 환경과 줄 등록 취소 → 사유 없이 → 사유 넣고</t>
        </is>
      </c>
      <c r="F16" s="3" t="inlineStr">
        <is>
          <t>사유 없이는 막히고, «환경과 원 기록을 보존하고 취소이력을 남겼습니다.»</t>
        </is>
      </c>
      <c r="G16" s="29" t="n"/>
      <c r="H16" s="7" t="n"/>
      <c r="I16" s="7" t="n"/>
    </row>
    <row r="17" ht="36" customHeight="1">
      <c r="A17" s="28" t="n">
        <v>23</v>
      </c>
      <c r="B17" s="30" t="inlineStr">
        <is>
          <t>박안전</t>
        </is>
      </c>
      <c r="C17" s="30" t="inlineStr">
        <is>
          <t>안전보건교육 &gt; 현업근로자 &gt; 정기교육</t>
        </is>
      </c>
      <c r="D17" s="17" t="inlineStr">
        <is>
          <t>시간을 고치면 이수 기록도 바뀐다</t>
        </is>
      </c>
      <c r="E17" s="3" t="inlineStr">
        <is>
          <t>20번 교육 [수정] → 끝 시각을 1시간 늘려 저장</t>
        </is>
      </c>
      <c r="F17" s="3" t="inlineStr">
        <is>
          <t>«…교육시간 Nh · 이수기록 M건 갱신»</t>
        </is>
      </c>
      <c r="G17" s="29" t="n"/>
      <c r="H17" s="7" t="n"/>
      <c r="I17" s="7" t="n"/>
    </row>
    <row r="18" ht="36" customHeight="1">
      <c r="A18" s="28" t="n">
        <v>24</v>
      </c>
      <c r="B18" s="30" t="inlineStr">
        <is>
          <t>박안전</t>
        </is>
      </c>
      <c r="C18" s="30" t="inlineStr">
        <is>
          <t>안전보건교육 &gt; 현업근로자 &gt; 정기교육</t>
        </is>
      </c>
      <c r="D18" s="17" t="inlineStr">
        <is>
          <t>삭제는 지울 건수를 알려 준다</t>
        </is>
      </c>
      <c r="E18" s="3" t="inlineStr">
        <is>
          <t>집합교육을 하나 더 만들고 → 그 교육 [삭제] → 확인 창을 본다</t>
        </is>
      </c>
      <c r="F18" s="3" t="inlineStr">
        <is>
          <t>확인 창이 지워질 신청·이수기록 건수를 알려 주고 지운다</t>
        </is>
      </c>
      <c r="G18" s="29" t="n"/>
      <c r="H18" s="7" t="n"/>
      <c r="I18" s="7" t="n"/>
    </row>
  </sheetData>
  <autoFilter ref="A3:I18"/>
  <mergeCells count="2">
    <mergeCell ref="A1:I1"/>
    <mergeCell ref="A2:I2"/>
  </mergeCells>
  <conditionalFormatting sqref="G4:G1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8">
    <cfRule type="expression" priority="7" dxfId="7">
      <formula>AND(OR($G4="실패",$G4="오류",$G4="문의"),$H4="")</formula>
    </cfRule>
  </conditionalFormatting>
  <dataValidations count="1">
    <dataValidation sqref="G4:G1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3 자체·채용시·기타</t>
        </is>
      </c>
    </row>
    <row r="2" ht="24" customHeight="1">
      <c r="A2" s="26" t="inlineStr">
        <is>
          <t>🗂 앞 시트와 같은 탭에서 이어서 하세요.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25</v>
      </c>
      <c r="B4" s="3" t="inlineStr">
        <is>
          <t>하정수</t>
        </is>
      </c>
      <c r="C4" s="3" t="inlineStr">
        <is>
          <t>안전보건교육 &gt; 현업근로자 &gt; 정기교육</t>
        </is>
      </c>
      <c r="D4" s="17" t="inlineStr">
        <is>
          <t>자체교육 등록</t>
        </is>
      </c>
      <c r="E4" s="3" t="inlineStr">
        <is>
          <t>[자체교육(부서)] → [＋ 자체교육 등록·진행] → 대상자 없이 → 내용 없이 → 다 채워서(QA_정기교육_자체, 대상자 2명, 증빙) 저장</t>
        </is>
      </c>
      <c r="F4" s="3" t="inlineStr">
        <is>
          <t>빈 칸이면 막히고 저장하면 목록에 생긴다. 부서는 물순환사업소로 고정</t>
        </is>
      </c>
      <c r="G4" s="29" t="n"/>
      <c r="H4" s="7" t="n"/>
      <c r="I4" s="7" t="n"/>
    </row>
    <row r="5" ht="36" customHeight="1">
      <c r="A5" s="28" t="n">
        <v>26</v>
      </c>
      <c r="B5" s="30" t="inlineStr">
        <is>
          <t>하정수</t>
        </is>
      </c>
      <c r="C5" s="30" t="inlineStr">
        <is>
          <t>안전보건교육 &gt; 현업근로자 &gt; 정기교육</t>
        </is>
      </c>
      <c r="D5" s="17" t="inlineStr">
        <is>
          <t>자체교육 첨부 칸</t>
        </is>
      </c>
      <c r="E5" s="3" t="inlineStr">
        <is>
          <t>등록 창의 첨부 영역을 본다</t>
        </is>
      </c>
      <c r="F5" s="3" t="inlineStr">
        <is>
          <t>«교육일지 및 교육사진 등» 한 칸이다</t>
        </is>
      </c>
      <c r="G5" s="29" t="n"/>
      <c r="H5" s="7" t="n"/>
      <c r="I5" s="7" t="n"/>
    </row>
    <row r="6" ht="36" customHeight="1">
      <c r="A6" s="28" t="n">
        <v>27</v>
      </c>
      <c r="B6" s="3" t="inlineStr">
        <is>
          <t>박안전</t>
        </is>
      </c>
      <c r="C6" s="3" t="inlineStr">
        <is>
          <t>안전보건교육 &gt; 현업근로자 &gt; 채용시교육</t>
        </is>
      </c>
      <c r="D6" s="17" t="inlineStr">
        <is>
          <t>탭과 새 근로자</t>
        </is>
      </c>
      <c r="E6" s="3" t="inlineStr">
        <is>
          <t>[전체] · [미이수] · [이수] 탭을 본다</t>
        </is>
      </c>
      <c r="F6" s="3" t="inlineStr">
        <is>
          <t>탭이 셋이고(«교육 건» 탭 없음) QA_근로자01이 미이수에 있다</t>
        </is>
      </c>
      <c r="G6" s="29" t="n"/>
      <c r="H6" s="7" t="n"/>
      <c r="I6" s="7" t="n"/>
    </row>
    <row r="7" ht="51" customHeight="1">
      <c r="A7" s="28" t="n">
        <v>28</v>
      </c>
      <c r="B7" s="30" t="inlineStr">
        <is>
          <t>박안전</t>
        </is>
      </c>
      <c r="C7" s="30" t="inlineStr">
        <is>
          <t>안전보건교육 &gt; 현업근로자 &gt; 채용시교육</t>
        </is>
      </c>
      <c r="D7" s="17" t="inlineStr">
        <is>
          <t>필요 시간</t>
        </is>
      </c>
      <c r="E7" s="3" t="inlineStr">
        <is>
          <t>목록의 필요시간을 본다</t>
        </is>
      </c>
      <c r="F7" s="3" t="inlineStr">
        <is>
          <t>고용형태·계약기간대로 1h · 4h · 8h이고 상태가 미이수 · 정상 이수 · 지연 이수 · 판정 불가로 나뉜다</t>
        </is>
      </c>
      <c r="G7" s="29" t="n"/>
      <c r="H7" s="7" t="n"/>
      <c r="I7" s="7" t="n"/>
    </row>
    <row r="8" ht="51" customHeight="1">
      <c r="A8" s="28" t="n">
        <v>29</v>
      </c>
      <c r="B8" s="30" t="inlineStr">
        <is>
          <t>박안전</t>
        </is>
      </c>
      <c r="C8" s="30" t="inlineStr">
        <is>
          <t>안전보건교육 &gt; 현업근로자 &gt; 채용시교육</t>
        </is>
      </c>
      <c r="D8" s="17" t="inlineStr">
        <is>
          <t>채용시 교육 추가</t>
        </is>
      </c>
      <c r="E8" s="3" t="inlineStr">
        <is>
          <t>[＋ 채용시 교육 추가] → 대상자 없이 → QA_근로자01만 고르고 증빙 없이 → 증빙 넣고 [교육기록 등록]</t>
        </is>
      </c>
      <c r="F8" s="3" t="inlineStr">
        <is>
          <t>빈 칸이면 막히고, 등록하면 «1명 교육기록 등록…» 후 이수 탭으로 옮겨 간다</t>
        </is>
      </c>
      <c r="G8" s="29" t="n"/>
      <c r="H8" s="7" t="n"/>
      <c r="I8" s="7" t="n"/>
    </row>
    <row r="9" ht="36" customHeight="1">
      <c r="A9" s="28" t="n">
        <v>30</v>
      </c>
      <c r="B9" s="30" t="inlineStr">
        <is>
          <t>박안전</t>
        </is>
      </c>
      <c r="C9" s="30" t="inlineStr">
        <is>
          <t>안전보건교육 &gt; 현업근로자 &gt; 채용시교육</t>
        </is>
      </c>
      <c r="D9" s="17" t="inlineStr">
        <is>
          <t>여러 명 한 번에</t>
        </is>
      </c>
      <c r="E9" s="3" t="inlineStr">
        <is>
          <t>미이수 2명 체크 → [선택 교육기록 등록] → 교육일 없이 → 증빙 없이 → 채워서</t>
        </is>
      </c>
      <c r="F9" s="3" t="inlineStr">
        <is>
          <t>빈 칸이면 막히고, 등록하면 «2명 소급 교육기록 등록…»</t>
        </is>
      </c>
      <c r="G9" s="29" t="n"/>
      <c r="H9" s="7" t="n"/>
      <c r="I9" s="7" t="n"/>
    </row>
    <row r="10" ht="51" customHeight="1">
      <c r="A10" s="28" t="n">
        <v>31</v>
      </c>
      <c r="B10" s="30" t="inlineStr">
        <is>
          <t>박안전</t>
        </is>
      </c>
      <c r="C10" s="30" t="inlineStr">
        <is>
          <t>안전보건교육 &gt; 현업근로자 &gt; 채용시교육</t>
        </is>
      </c>
      <c r="D10" s="17" t="inlineStr">
        <is>
          <t>이수 수정·되돌리기</t>
        </is>
      </c>
      <c r="E10" s="3" t="inlineStr">
        <is>
          <t>29번 이수자 [이수 수정] → 날짜 바꿔 저장 → 다시 [이수 수정] → [이수 기록 삭제] → [이수 취소]</t>
        </is>
      </c>
      <c r="F10" s="3" t="inlineStr">
        <is>
          <t>«이수일을 수정했습니다 — 날짜», 삭제하면 «이수기록 N건 회수 · 미이수로 되돌렸습니다»</t>
        </is>
      </c>
      <c r="G10" s="29" t="n"/>
      <c r="H10" s="7" t="n"/>
      <c r="I10" s="7" t="n"/>
    </row>
    <row r="11" ht="36" customHeight="1">
      <c r="A11" s="28" t="n">
        <v>32</v>
      </c>
      <c r="B11" s="3" t="inlineStr">
        <is>
          <t>하정수</t>
        </is>
      </c>
      <c r="C11" s="30" t="inlineStr">
        <is>
          <t>안전보건교육 &gt; 현업근로자 &gt; 채용시교육</t>
        </is>
      </c>
      <c r="D11" s="17" t="inlineStr">
        <is>
          <t>자기 부서만 보인다</t>
        </is>
      </c>
      <c r="E11" s="3" t="inlineStr">
        <is>
          <t>목록과 부서 조건을 본다</t>
        </is>
      </c>
      <c r="F11" s="3" t="inlineStr">
        <is>
          <t>물순환사업소 사람만 보이고 부서 조건에도 물순환사업소만 있다</t>
        </is>
      </c>
      <c r="G11" s="29" t="n"/>
      <c r="H11" s="7" t="n"/>
      <c r="I11" s="7" t="n"/>
    </row>
    <row r="12" ht="66" customHeight="1">
      <c r="A12" s="28" t="n">
        <v>33</v>
      </c>
      <c r="B12" s="3" t="inlineStr">
        <is>
          <t>박안전</t>
        </is>
      </c>
      <c r="C12" s="3" t="inlineStr">
        <is>
          <t>안전보건교육 &gt; 관리감독자 &gt; 채용시교육</t>
        </is>
      </c>
      <c r="D12" s="17" t="inlineStr">
        <is>
          <t>지정일이 없으면 판정하지 않는다</t>
        </is>
      </c>
      <c r="E12" s="3" t="inlineStr">
        <is>
          <t>목록을 본다</t>
        </is>
      </c>
      <c r="F12" s="3" t="inlineStr">
        <is>
          <t>지정일 없는 사람은 «판정 불가»이고 미이수·이수 어느 탭에도 없다. «전체 = 미이수 + 이수 + 판정 불가» 안내가 있고, 4번에서 지정일을 넣은 사람만 판정된다</t>
        </is>
      </c>
      <c r="G12" s="29" t="n"/>
      <c r="H12" s="7" t="n"/>
      <c r="I12" s="7" t="n"/>
    </row>
    <row r="13" ht="51" customHeight="1">
      <c r="A13" s="28" t="n">
        <v>34</v>
      </c>
      <c r="B13" s="30" t="inlineStr">
        <is>
          <t>박안전</t>
        </is>
      </c>
      <c r="C13" s="3" t="inlineStr">
        <is>
          <t>안전보건교육 &gt; 현업근로자 &gt; 기타 교육</t>
        </is>
      </c>
      <c r="D13" s="17" t="inlineStr">
        <is>
          <t>기타 교육 등록</t>
        </is>
      </c>
      <c r="E13" s="3" t="inlineStr">
        <is>
          <t>[＋ 기타 교육 등록·진행] → 빈 채로 [진행 처리] → 유형 «작업내용 변경 시» → 대상자 없이 → 다 채우고 시간 0.5</t>
        </is>
      </c>
      <c r="F13" s="3" t="inlineStr">
        <is>
          <t>빈 칸이면 막힌다. 유형을 고르면 법정 최소 시간과 근거가 보이고, 모자라도 등록되며 «법정 최소 미달 N명»이 뜬다</t>
        </is>
      </c>
      <c r="G13" s="29" t="n"/>
      <c r="H13" s="7" t="n"/>
      <c r="I13" s="7" t="n"/>
    </row>
    <row r="14" ht="51" customHeight="1">
      <c r="A14" s="28" t="n">
        <v>35</v>
      </c>
      <c r="B14" s="30" t="inlineStr">
        <is>
          <t>박안전</t>
        </is>
      </c>
      <c r="C14" s="30" t="inlineStr">
        <is>
          <t>안전보건교육 &gt; 현업근로자 &gt; 기타 교육</t>
        </is>
      </c>
      <c r="D14" s="17" t="inlineStr">
        <is>
          <t>특별교육 대상 작업</t>
        </is>
      </c>
      <c r="E14" s="3" t="inlineStr">
        <is>
          <t>유형 «특별교육» → 대상 작업 없이 진행 → 두 개 고르기 → «기타 — 법령 매핑 대기»를 내용 없이 진행</t>
        </is>
      </c>
      <c r="F14" s="3" t="inlineStr">
        <is>
          <t>대상 작업이 없으면 막히고 여러 개 고를 수 있다. «기타»는 내용을 적어야 저장된다</t>
        </is>
      </c>
      <c r="G14" s="29" t="n"/>
      <c r="H14" s="7" t="n"/>
      <c r="I14" s="7" t="n"/>
    </row>
    <row r="15" ht="36" customHeight="1">
      <c r="A15" s="28" t="n">
        <v>36</v>
      </c>
      <c r="B15" s="30" t="inlineStr">
        <is>
          <t>박안전</t>
        </is>
      </c>
      <c r="C15" s="3" t="inlineStr">
        <is>
          <t>안전보건교육 &gt; 관리감독자 &gt; 기타 교육</t>
        </is>
      </c>
      <c r="D15" s="17" t="inlineStr">
        <is>
          <t>관리감독자 유형은 다르다</t>
        </is>
      </c>
      <c r="E15" s="3" t="inlineStr">
        <is>
          <t>등록 창의 유형 목록을 현업근로자 쪽과 비교한다</t>
        </is>
      </c>
      <c r="F15" s="3" t="inlineStr">
        <is>
          <t>«건설업 기초»가 없고 작업내용 변경 2h · 특별교육 16h 한 가지 기준이다</t>
        </is>
      </c>
      <c r="G15" s="29" t="n"/>
      <c r="H15" s="7" t="n"/>
      <c r="I15" s="7" t="n"/>
    </row>
    <row r="16" ht="36" customHeight="1">
      <c r="A16" s="28" t="n">
        <v>37</v>
      </c>
      <c r="B16" s="3" t="inlineStr">
        <is>
          <t>하정수</t>
        </is>
      </c>
      <c r="C16" s="3" t="inlineStr">
        <is>
          <t>안전보건교육 &gt; 현업근로자 &gt; 기타 교육</t>
        </is>
      </c>
      <c r="D16" s="17" t="inlineStr">
        <is>
          <t>자기 부서 교육만 고친다</t>
        </is>
      </c>
      <c r="E16" s="3" t="inlineStr">
        <is>
          <t>자기 부서 교육(없으면 하나 등록) [수정]·[삭제] → 다른 부서 교육을 본다</t>
        </is>
      </c>
      <c r="F16" s="3" t="inlineStr">
        <is>
          <t>자기 부서 것만 고칠 수 있고, 삭제 창이 지워질 이수기록 건수를 알려 준다</t>
        </is>
      </c>
      <c r="G16" s="29" t="n"/>
      <c r="H16" s="7" t="n"/>
      <c r="I16" s="7" t="n"/>
    </row>
    <row r="17" ht="36" customHeight="1">
      <c r="A17" s="28" t="n">
        <v>38</v>
      </c>
      <c r="B17" s="3" t="inlineStr">
        <is>
          <t>박안전</t>
        </is>
      </c>
      <c r="C17" s="3" t="inlineStr">
        <is>
          <t>안전보건교육 &gt; 관리감독자 &gt; 정기교육</t>
        </is>
      </c>
      <c r="D17" s="17" t="inlineStr">
        <is>
          <t>관리감독자 정기교육</t>
        </is>
      </c>
      <c r="E17" s="3" t="inlineStr">
        <is>
          <t>등록 창의 대상자 목록을 본다</t>
        </is>
      </c>
      <c r="F17" s="3" t="inlineStr">
        <is>
          <t>관리감독자만 대상자로 나온다</t>
        </is>
      </c>
      <c r="G17" s="29" t="n"/>
      <c r="H17" s="7" t="n"/>
      <c r="I17" s="7" t="n"/>
    </row>
  </sheetData>
  <autoFilter ref="A3:I17"/>
  <mergeCells count="2">
    <mergeCell ref="A1:I1"/>
    <mergeCell ref="A2:I2"/>
  </mergeCells>
  <conditionalFormatting sqref="G4:G1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7">
    <cfRule type="expression" priority="7" dxfId="7">
      <formula>AND(OR($G4="실패",$G4="오류",$G4="문의"),$H4="")</formula>
    </cfRule>
  </conditionalFormatting>
  <dataValidations count="1">
    <dataValidation sqref="G4:G1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4 이수현황</t>
        </is>
      </c>
    </row>
    <row r="2" ht="24" customHeight="1">
      <c r="A2" s="26" t="inlineStr">
        <is>
          <t>🗂 앞 시트와 같은 탭에서 이어서 하세요. 2·3번 시트에서 끝낸 교육이 여기 모입니다.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4" customHeight="1">
      <c r="A4" s="28" t="n">
        <v>39</v>
      </c>
      <c r="B4" s="3" t="inlineStr">
        <is>
          <t>박안전</t>
        </is>
      </c>
      <c r="C4" s="3" t="inlineStr">
        <is>
          <t>안전보건교육 &gt; 이수현황</t>
        </is>
      </c>
      <c r="D4" s="17" t="inlineStr">
        <is>
          <t>부서별 요약과 상세</t>
        </is>
      </c>
      <c r="E4" s="3" t="inlineStr">
        <is>
          <t>물순환사업소 줄 [상세]</t>
        </is>
      </c>
      <c r="F4" s="3" t="inlineStr">
        <is>
          <t>대상·완료 인원과 완료율이 상세 목록과 맞다</t>
        </is>
      </c>
      <c r="G4" s="29" t="n"/>
      <c r="H4" s="7" t="n"/>
      <c r="I4" s="7" t="n"/>
    </row>
    <row r="5" ht="36" customHeight="1">
      <c r="A5" s="28" t="n">
        <v>40</v>
      </c>
      <c r="B5" s="30" t="inlineStr">
        <is>
          <t>박안전</t>
        </is>
      </c>
      <c r="C5" s="30" t="inlineStr">
        <is>
          <t>안전보건교육 &gt; 이수현황</t>
        </is>
      </c>
      <c r="D5" s="17" t="inlineStr">
        <is>
          <t>대상 없는 부서</t>
        </is>
      </c>
      <c r="E5" s="3" t="inlineStr">
        <is>
          <t>대상이 0명인 부서를 찾는다</t>
        </is>
      </c>
      <c r="F5" s="3" t="inlineStr">
        <is>
          <t>0%가 아니라 «대상 없음»으로 보인다(그런 부서가 없으면 «확인 불가»)</t>
        </is>
      </c>
      <c r="G5" s="29" t="n"/>
      <c r="H5" s="7" t="n"/>
      <c r="I5" s="7" t="n"/>
    </row>
    <row r="6" ht="36" customHeight="1">
      <c r="A6" s="28" t="n">
        <v>41</v>
      </c>
      <c r="B6" s="30" t="inlineStr">
        <is>
          <t>박안전</t>
        </is>
      </c>
      <c r="C6" s="30" t="inlineStr">
        <is>
          <t>안전보건교육 &gt; 이수현황</t>
        </is>
      </c>
      <c r="D6" s="17" t="inlineStr">
        <is>
          <t>시간 계산</t>
        </is>
      </c>
      <c r="E6" s="3" t="inlineStr">
        <is>
          <t>집합(20번)과 자체(25번)를 모두 들은 사람의 필요·인정·미달을 본다</t>
        </is>
      </c>
      <c r="F6" s="3" t="inlineStr">
        <is>
          <t>인정 = 집합 + 자체, 미달 = 필요 − 인정이고 음수가 없다</t>
        </is>
      </c>
      <c r="G6" s="29" t="n"/>
      <c r="H6" s="7" t="n"/>
      <c r="I6" s="7" t="n"/>
    </row>
    <row r="7" ht="36" customHeight="1">
      <c r="A7" s="28" t="n">
        <v>42</v>
      </c>
      <c r="B7" s="30" t="inlineStr">
        <is>
          <t>박안전</t>
        </is>
      </c>
      <c r="C7" s="30" t="inlineStr">
        <is>
          <t>안전보건교육 &gt; 이수현황</t>
        </is>
      </c>
      <c r="D7" s="17" t="inlineStr">
        <is>
          <t>여러 조건</t>
        </is>
      </c>
      <c r="E7" s="3" t="inlineStr">
        <is>
          <t>부서·구분·고용형태·이수 상태를 함께 건다 → [필터 초기화]</t>
        </is>
      </c>
      <c r="F7" s="3" t="inlineStr">
        <is>
          <t>조건대로 걸러지고 초기화하면 전체로 돌아온다</t>
        </is>
      </c>
      <c r="G7" s="29" t="n"/>
      <c r="H7" s="7" t="n"/>
      <c r="I7" s="7" t="n"/>
    </row>
    <row r="8" ht="36" customHeight="1">
      <c r="A8" s="28" t="n">
        <v>43</v>
      </c>
      <c r="B8" s="3" t="inlineStr">
        <is>
          <t>하정수</t>
        </is>
      </c>
      <c r="C8" s="30" t="inlineStr">
        <is>
          <t>안전보건교육 &gt; 이수현황</t>
        </is>
      </c>
      <c r="D8" s="17" t="inlineStr">
        <is>
          <t>남의 부서 상세는 못 본다</t>
        </is>
      </c>
      <c r="E8" s="3" t="inlineStr">
        <is>
          <t>부서별 요약을 본다</t>
        </is>
      </c>
      <c r="F8" s="3" t="inlineStr">
        <is>
          <t>자기 부서 줄에만 [상세]가 있고 다른 줄은 «—»다(버튼이 있는데 누르면 거절되면 실패)</t>
        </is>
      </c>
      <c r="G8" s="29" t="n"/>
      <c r="H8" s="7" t="n"/>
      <c r="I8" s="7" t="n"/>
    </row>
    <row r="9" ht="51" customHeight="1">
      <c r="A9" s="28" t="n">
        <v>44</v>
      </c>
      <c r="B9" s="3" t="inlineStr">
        <is>
          <t>박안전</t>
        </is>
      </c>
      <c r="C9" s="30" t="inlineStr">
        <is>
          <t>안전보건교육 &gt; 이수현황</t>
        </is>
      </c>
      <c r="D9" s="17" t="inlineStr">
        <is>
          <t>독촉</t>
        </is>
      </c>
      <c r="E9" s="3" t="inlineStr">
        <is>
          <t>체크 없이 [일괄 독촉] → 2명 체크 → [일괄 독촉 (2)] → [독촉 발송] → [📜 독촉 이력]</t>
        </is>
      </c>
      <c r="F9" s="3" t="inlineStr">
        <is>
          <t>체크가 없으면 막힌다. 발송하면 «…2명 독촉 알림 기록 완료 (실제 문자·메일 미발송)» 후 이력에 남는다</t>
        </is>
      </c>
      <c r="G9" s="29" t="n"/>
      <c r="H9" s="7" t="n"/>
      <c r="I9" s="7" t="n"/>
    </row>
    <row r="10" ht="36" customHeight="1">
      <c r="A10" s="28" t="n">
        <v>45</v>
      </c>
      <c r="B10" s="30" t="inlineStr">
        <is>
          <t>박안전</t>
        </is>
      </c>
      <c r="C10" s="30" t="inlineStr">
        <is>
          <t>안전보건교육 &gt; 이수현황</t>
        </is>
      </c>
      <c r="D10" s="17" t="inlineStr">
        <is>
          <t>이수 확인서</t>
        </is>
      </c>
      <c r="E10" s="3" t="inlineStr">
        <is>
          <t>완료한 사람의 확인서 [발급]</t>
        </is>
      </c>
      <c r="F10" s="3" t="inlineStr">
        <is>
          <t>보고서·제증명 화면이 그 사람으로 채워져 열린다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5 공문·결재 이력</t>
        </is>
      </c>
    </row>
    <row r="2" ht="24" customHeight="1">
      <c r="A2" s="26" t="inlineStr">
        <is>
          <t>🗂 앞 시트와 같은 탭에서 이어서 하세요. 교육 공문은 결재 결과를 받지 않습니다 — 상태는 «결재중» 하나입니다.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46</v>
      </c>
      <c r="B4" s="3" t="inlineStr">
        <is>
          <t>박안전</t>
        </is>
      </c>
      <c r="C4" s="3" t="inlineStr">
        <is>
          <t>안전보건교육 &gt; 현업근로자 &gt; 정기교육</t>
        </is>
      </c>
      <c r="D4" s="17" t="inlineStr">
        <is>
          <t>끝난 교육만 공문을 쓴다</t>
        </is>
      </c>
      <c r="E4" s="3" t="inlineStr">
        <is>
          <t>진행 중인 교육과 20번(종료) 교육의 [공문 기안]을 본다</t>
        </is>
      </c>
      <c r="F4" s="3" t="inlineStr">
        <is>
          <t>진행 중인 교육은 «교육 종료 처리 후에 기안할 수 있습니다.», 종료된 교육은 기안된다</t>
        </is>
      </c>
      <c r="G4" s="29" t="n"/>
      <c r="H4" s="7" t="n"/>
      <c r="I4" s="7" t="n"/>
    </row>
    <row r="5" ht="66" customHeight="1">
      <c r="A5" s="28" t="n">
        <v>47</v>
      </c>
      <c r="B5" s="30" t="inlineStr">
        <is>
          <t>박안전</t>
        </is>
      </c>
      <c r="C5" s="30" t="inlineStr">
        <is>
          <t>안전보건교육 &gt; 현업근로자 &gt; 정기교육</t>
        </is>
      </c>
      <c r="D5" s="17" t="inlineStr">
        <is>
          <t>공문 쓰기 → 미리보기 → 상신</t>
        </is>
      </c>
      <c r="E5" s="3" t="inlineStr">
        <is>
          <t>20번 교육 [공문 기안] → 제목을 지우고 미리보기 → 본문 없이 미리보기 → 본문 쓰기(칩 사용)·붙임 고르기 → [문서 미리보기 →] → [온나라로 결재 상신] → [상신]</t>
        </is>
      </c>
      <c r="F5" s="3" t="inlineStr">
        <is>
          <t>제목·본문이 없으면 막힌다. 기안 화면에 상신 버튼이 없고 붙임은 올려 둔 파일에서만 고른다. 상신하면 문서번호가 붙고 «결재중»</t>
        </is>
      </c>
      <c r="G5" s="29" t="n"/>
      <c r="H5" s="7" t="n"/>
      <c r="I5" s="7" t="n"/>
    </row>
    <row r="6" ht="51" customHeight="1">
      <c r="A6" s="28" t="n">
        <v>48</v>
      </c>
      <c r="B6" s="30" t="inlineStr">
        <is>
          <t>박안전</t>
        </is>
      </c>
      <c r="C6" s="30" t="inlineStr">
        <is>
          <t>안전보건교육 &gt; 현업근로자 &gt; 정기교육</t>
        </is>
      </c>
      <c r="D6" s="17" t="inlineStr">
        <is>
          <t>결재선</t>
        </is>
      </c>
      <c r="E6" s="3" t="inlineStr">
        <is>
          <t>검토·결재에 같은 사람을 넣어 본다 → 기안자 본인을 넣어 본다 → 검토 칸을 비우고 상신해 본다</t>
        </is>
      </c>
      <c r="F6" s="3" t="inlineStr">
        <is>
          <t>고를 수 없게 흐리게 보이고, 칸이 비면 상신이 막힌다</t>
        </is>
      </c>
      <c r="G6" s="29" t="n"/>
      <c r="H6" s="7" t="n"/>
      <c r="I6" s="7" t="n"/>
    </row>
    <row r="7" ht="36" customHeight="1">
      <c r="A7" s="28" t="n">
        <v>49</v>
      </c>
      <c r="B7" s="30" t="inlineStr">
        <is>
          <t>박안전</t>
        </is>
      </c>
      <c r="C7" s="30" t="inlineStr">
        <is>
          <t>안전보건교육 &gt; 현업근로자 &gt; 정기교육</t>
        </is>
      </c>
      <c r="D7" s="17" t="inlineStr">
        <is>
          <t>상신 뒤에는 잠긴다</t>
        </is>
      </c>
      <c r="E7" s="3" t="inlineStr">
        <is>
          <t>그 교육 [수정]·[삭제] → 상세의 [등록 취소]</t>
        </is>
      </c>
      <c r="F7" s="3" t="inlineStr">
        <is>
          <t>셋 다 잠겨 있다(등록 취소까지 잠겨야 성공)</t>
        </is>
      </c>
      <c r="G7" s="29" t="n"/>
      <c r="H7" s="7" t="n"/>
      <c r="I7" s="7" t="n"/>
    </row>
    <row r="8" ht="51" customHeight="1">
      <c r="A8" s="28" t="n">
        <v>50</v>
      </c>
      <c r="B8" s="30" t="inlineStr">
        <is>
          <t>박안전</t>
        </is>
      </c>
      <c r="C8" s="30" t="inlineStr">
        <is>
          <t>안전보건교육 &gt; 현업근로자 &gt; 정기교육</t>
        </is>
      </c>
      <c r="D8" s="17" t="inlineStr">
        <is>
          <t>잠금 안내 문구</t>
        </is>
      </c>
      <c r="E8" s="3" t="inlineStr">
        <is>
          <t>49번에서 뜬 안내를 읽는다</t>
        </is>
      </c>
      <c r="F8" s="3" t="inlineStr">
        <is>
          <t>잠긴 이유(결재중)를 말하고, 이 시스템에서 할 수 없는 일(«반려 후 다시 시도»)을 권하지 않는다</t>
        </is>
      </c>
      <c r="G8" s="29" t="n"/>
      <c r="H8" s="7" t="n"/>
      <c r="I8" s="7" t="n"/>
    </row>
    <row r="9" ht="51" customHeight="1">
      <c r="A9" s="28" t="n">
        <v>51</v>
      </c>
      <c r="B9" s="3" t="inlineStr">
        <is>
          <t>하정수 → 홍길동</t>
        </is>
      </c>
      <c r="C9" s="30" t="inlineStr">
        <is>
          <t>안전보건교육 &gt; 현업근로자 &gt; 정기교육</t>
        </is>
      </c>
      <c r="D9" s="17" t="inlineStr">
        <is>
          <t>공문은 교육을 등록한 부서가 쓴다</t>
        </is>
      </c>
      <c r="E9" s="3" t="inlineStr">
        <is>
          <t>하정수: 25번 자체교육과 재난안전과 집합교육의 [공문 기안]을 본다 / 홍길동: 같은 화면</t>
        </is>
      </c>
      <c r="F9" s="3" t="inlineStr">
        <is>
          <t>하정수는 자기 부서 교육만 기안하고 나머지는 누가 기안하는지 안내된다. 홍길동에게는 기안 버튼이 없다</t>
        </is>
      </c>
      <c r="G9" s="29" t="n"/>
      <c r="H9" s="7" t="n"/>
      <c r="I9" s="7" t="n"/>
    </row>
    <row r="10" ht="36" customHeight="1">
      <c r="A10" s="28" t="n">
        <v>52</v>
      </c>
      <c r="B10" s="3" t="inlineStr">
        <is>
          <t>박안전</t>
        </is>
      </c>
      <c r="C10" s="3" t="inlineStr">
        <is>
          <t>안전보건교육 &gt; 현업근로자 &gt; 채용시교육</t>
        </is>
      </c>
      <c r="D10" s="17" t="inlineStr">
        <is>
          <t>채용시교육 공문</t>
        </is>
      </c>
      <c r="E10" s="3" t="inlineStr">
        <is>
          <t>이수 줄에서 공문으로 가는 연결을 본다</t>
        </is>
      </c>
      <c r="F10" s="3" t="inlineStr">
        <is>
          <t>그 사람이 들은 교육 건의 [공문 기안]으로 간다</t>
        </is>
      </c>
      <c r="G10" s="29" t="n"/>
      <c r="H10" s="7" t="n"/>
      <c r="I10" s="7" t="n"/>
    </row>
    <row r="11" ht="51" customHeight="1">
      <c r="A11" s="28" t="n">
        <v>53</v>
      </c>
      <c r="B11" s="30" t="inlineStr">
        <is>
          <t>박안전</t>
        </is>
      </c>
      <c r="C11" s="3" t="inlineStr">
        <is>
          <t>안전보건교육 &gt; 결재 이력</t>
        </is>
      </c>
      <c r="D11" s="17" t="inlineStr">
        <is>
          <t>결재 이력</t>
        </is>
      </c>
      <c r="E11" s="3" t="inlineStr">
        <is>
          <t>목록 → 조건 → 문서를 연다</t>
        </is>
      </c>
      <c r="F11" s="3" t="inlineStr">
        <is>
          <t>47번 공문이 문서번호와 함께 있고 열린다. 승인·반려 버튼은 없고 «온나라에서 문서번호로 확인» 안내가 있다</t>
        </is>
      </c>
      <c r="G11" s="29" t="n"/>
      <c r="H11" s="7" t="n"/>
      <c r="I11" s="7" t="n"/>
    </row>
  </sheetData>
  <autoFilter ref="A3:I11"/>
  <mergeCells count="2">
    <mergeCell ref="A1:I1"/>
    <mergeCell ref="A2:I2"/>
  </mergeCells>
  <conditionalFormatting sqref="G4:G11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1">
    <cfRule type="expression" priority="7" dxfId="7">
      <formula>AND(OR($G4="실패",$G4="오류",$G4="문의"),$H4="")</formula>
    </cfRule>
  </conditionalFormatting>
  <dataValidations count="1">
    <dataValidation sqref="G4:G11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6 계정별 차이</t>
        </is>
      </c>
    </row>
    <row r="2" ht="24" customHeight="1">
      <c r="A2" s="26" t="inlineStr">
        <is>
          <t>🗂 5번 시트까지 쓰던 탭에서 계정만 바꿔 가며 보세요. 58번(단계별 안내)만 새 탭에서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54</v>
      </c>
      <c r="B4" s="3" t="inlineStr">
        <is>
          <t>김담양</t>
        </is>
      </c>
      <c r="C4" s="3" t="inlineStr">
        <is>
          <t>안전보건교육 (9개 화면 전부)</t>
        </is>
      </c>
      <c r="D4" s="17" t="inlineStr">
        <is>
          <t>군수는 보기만</t>
        </is>
      </c>
      <c r="E4" s="3" t="inlineStr">
        <is>
          <t>교육 메뉴 9개를 차례로 연다</t>
        </is>
      </c>
      <c r="F4" s="3" t="inlineStr">
        <is>
          <t>등록·수정·삭제·종료·공문 버튼이 하나도 없고 화면 오류가 없다</t>
        </is>
      </c>
      <c r="G4" s="29" t="n"/>
      <c r="H4" s="7" t="n"/>
      <c r="I4" s="7" t="n"/>
    </row>
    <row r="5" ht="36" customHeight="1">
      <c r="A5" s="28" t="n">
        <v>55</v>
      </c>
      <c r="B5" s="3" t="inlineStr">
        <is>
          <t>홍길동</t>
        </is>
      </c>
      <c r="C5" s="3" t="inlineStr">
        <is>
          <t>안전보건교육 (현업근로자 3개 화면)</t>
        </is>
      </c>
      <c r="D5" s="17" t="inlineStr">
        <is>
          <t>과장은 보기만</t>
        </is>
      </c>
      <c r="E5" s="3" t="inlineStr">
        <is>
          <t>정기교육·채용시교육·기타 교육을 연다</t>
        </is>
      </c>
      <c r="F5" s="3" t="inlineStr">
        <is>
          <t>등록·종료·공문 버튼이 없고 조회 전용 안내가 보인다</t>
        </is>
      </c>
      <c r="G5" s="29" t="n"/>
      <c r="H5" s="7" t="n"/>
      <c r="I5" s="7" t="n"/>
    </row>
    <row r="6" ht="36" customHeight="1">
      <c r="A6" s="28" t="n">
        <v>56</v>
      </c>
      <c r="B6" s="3" t="inlineStr">
        <is>
          <t>하정수</t>
        </is>
      </c>
      <c r="C6" s="3" t="inlineStr">
        <is>
          <t>안전보건교육 (등록 창)</t>
        </is>
      </c>
      <c r="D6" s="17" t="inlineStr">
        <is>
          <t>부서 칸 고정</t>
        </is>
      </c>
      <c r="E6" s="3" t="inlineStr">
        <is>
          <t>자체교육·기타 교육·채용시 교육 추가 창을 차례로 연다</t>
        </is>
      </c>
      <c r="F6" s="3" t="inlineStr">
        <is>
          <t>부서가 물순환사업소로 고정돼 있다</t>
        </is>
      </c>
      <c r="G6" s="29" t="n"/>
      <c r="H6" s="7" t="n"/>
      <c r="I6" s="7" t="n"/>
    </row>
    <row r="7" ht="34" customHeight="1">
      <c r="A7" s="28" t="n">
        <v>57</v>
      </c>
      <c r="B7" s="30" t="inlineStr">
        <is>
          <t>하정수</t>
        </is>
      </c>
      <c r="C7" s="3" t="inlineStr">
        <is>
          <t>대시보드 &gt; 내 할일</t>
        </is>
      </c>
      <c r="D7" s="17" t="inlineStr">
        <is>
          <t>교육 할 일 카드</t>
        </is>
      </c>
      <c r="E7" s="3" t="inlineStr">
        <is>
          <t>«…참석자 등록부 등록 필요» 카드를 누른다</t>
        </is>
      </c>
      <c r="F7" s="3" t="inlineStr">
        <is>
          <t>목록이 아니라 그 교육의 상세로 바로 간다</t>
        </is>
      </c>
      <c r="G7" s="29" t="n"/>
      <c r="H7" s="7" t="n"/>
      <c r="I7" s="7" t="n"/>
    </row>
    <row r="8" ht="36" customHeight="1">
      <c r="A8" s="28" t="n">
        <v>58</v>
      </c>
      <c r="B8" s="3" t="inlineStr">
        <is>
          <t>박안전</t>
        </is>
      </c>
      <c r="C8" s="3" t="inlineStr">
        <is>
          <t>안전보건교육 &gt; 현업근로자 &gt; 정기교육</t>
        </is>
      </c>
      <c r="D8" s="17" t="inlineStr">
        <is>
          <t>단계별 안내</t>
        </is>
      </c>
      <c r="E8" s="3" t="inlineStr">
        <is>
          <t>새 탭 → «단계별 안내 시작» → 끝까지 따라간다</t>
        </is>
      </c>
      <c r="F8" s="3" t="inlineStr">
        <is>
          <t>단계마다 눌러야 할 버튼을 짚고 처리하면 다음 단계로 넘어간다</t>
        </is>
      </c>
      <c r="G8" s="29" t="n"/>
      <c r="H8" s="7" t="n"/>
      <c r="I8" s="7" t="n"/>
    </row>
  </sheetData>
  <autoFilter ref="A3:I8"/>
  <mergeCells count="2">
    <mergeCell ref="A1:I1"/>
    <mergeCell ref="A2:I2"/>
  </mergeCells>
  <conditionalFormatting sqref="G4:G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8">
    <cfRule type="expression" priority="7" dxfId="7">
      <formula>AND(OR($G4="실패",$G4="오류",$G4="문의"),$H4="")</formula>
    </cfRule>
  </conditionalFormatting>
  <dataValidations count="1">
    <dataValidation sqref="G4:G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안전보건교육</t>
        </is>
      </c>
    </row>
    <row r="3">
      <c r="A3" t="inlineStr">
        <is>
          <t>담당자</t>
        </is>
      </c>
      <c r="B3" t="inlineStr">
        <is>
          <t>윤한빛</t>
        </is>
      </c>
    </row>
    <row r="4">
      <c r="A4" t="inlineStr">
        <is>
          <t>파일 코드</t>
        </is>
      </c>
      <c r="B4" t="inlineStr">
        <is>
          <t>ED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2026-09-28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2026-09-28T08:54:00Z</dcterms:created>
  <dcterms:modified xmlns:dcterms="http://purl.org/dc/terms/" xmlns:xsi="http://www.w3.org/2001/XMLSchema-instance" xsi:type="dcterms:W3CDTF">2026-09-28T08:54:00Z</dcterms:modified>
</cp:coreProperties>
</file>