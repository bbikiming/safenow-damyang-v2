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메뉴·화면" sheetId="3" state="visible" r:id="rId3"/>
    <sheet xmlns:r="http://schemas.openxmlformats.org/officeDocument/2006/relationships" name="계정·권한" sheetId="4" state="visible" r:id="rId4"/>
    <sheet xmlns:r="http://schemas.openxmlformats.org/officeDocument/2006/relationships" name="공통 동작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'메뉴·화면'!$A$3:$I$8</definedName>
    <definedName name="_xlnm.Print_Titles" localSheetId="2">'메뉴·화면'!$3:$3</definedName>
    <definedName name="_xlnm._FilterDatabase" localSheetId="3" hidden="1">'계정·권한'!$A$3:$I$7</definedName>
    <definedName name="_xlnm.Print_Titles" localSheetId="3">'계정·권한'!$3:$3</definedName>
    <definedName name="_xlnm._FilterDatabase" localSheetId="4" hidden="1">'공통 동작'!$A$3:$I$10</definedName>
    <definedName name="_xlnm.Print_Titles" localSheetId="4">'공통 동작'!$3:$3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공통 · 윤성현</t>
        </is>
      </c>
    </row>
    <row r="3" ht="22" customHeight="1">
      <c r="A3" s="2" t="inlineStr">
        <is>
          <t>메뉴</t>
        </is>
      </c>
      <c r="B3" s="3" t="inlineStr">
        <is>
          <t>공통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윤성현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QA박안전1 (재난안전과 담당자) · QA하정수1 (내 부서 물순환사업소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어느 메뉴에도 속하지 않는 화면 맨 위(메뉴·알림·도움말·계정)와 모든 화면에 걸리는 공통 동작을 봅니다. 대부분 QA박안전1 창에서 하고, 권한 차이는 QA하정수1 창과 비교합니다.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16줄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메뉴·화면 → 계정·권한 → 공통 동작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QA박안전1(재난안전과), 시크릿 창(Ctrl + Shift + N · 맥 Cmd + Shift + N)에는 QA하정수1(담당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QA박안전1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QA하정수1</t>
        </is>
      </c>
      <c r="B40" s="3" t="inlineStr">
        <is>
          <t>담당 공무원 (내 부서: 물순환사업소)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«윤성현_집합교육».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QA박안전1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공통 · 윤성현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메뉴·화면</t>
        </is>
      </c>
      <c r="B5" s="21">
        <f>COUNTA('메뉴·화면'!$A$4:$A$8)</f>
        <v>5</v>
      </c>
      <c r="C5" s="21">
        <f>COUNTIF('메뉴·화면'!$G$4:$G$8,"성공")</f>
        <v>0</v>
      </c>
      <c r="D5" s="21">
        <f>COUNTIF('메뉴·화면'!$G$4:$G$8,"실패")</f>
        <v>0</v>
      </c>
      <c r="E5" s="21">
        <f>COUNTIF('메뉴·화면'!$G$4:$G$8,"오류")</f>
        <v>0</v>
      </c>
      <c r="F5" s="21">
        <f>COUNTIF('메뉴·화면'!$G$4:$G$8,"보류")</f>
        <v>0</v>
      </c>
      <c r="G5" s="21">
        <f>COUNTIF('메뉴·화면'!$G$4:$G$8,"확인 불가")</f>
        <v>0</v>
      </c>
      <c r="H5" s="21">
        <f>COUNTIF('메뉴·화면'!$G$4:$G$8,"문의")</f>
        <v>0</v>
      </c>
      <c r="I5" s="21">
        <f>COUNTBLANK('메뉴·화면'!$G$4:$G$8)</f>
        <v>5</v>
      </c>
      <c r="J5" s="22">
        <f>IF(B5=0,0,(B5-I5)/B5)</f>
        <v>0</v>
      </c>
    </row>
    <row r="6" ht="22" customHeight="1">
      <c r="A6" s="20" t="inlineStr">
        <is>
          <t>계정·권한</t>
        </is>
      </c>
      <c r="B6" s="21">
        <f>COUNTA('계정·권한'!$A$4:$A$7)</f>
        <v>4</v>
      </c>
      <c r="C6" s="21">
        <f>COUNTIF('계정·권한'!$G$4:$G$7,"성공")</f>
        <v>0</v>
      </c>
      <c r="D6" s="21">
        <f>COUNTIF('계정·권한'!$G$4:$G$7,"실패")</f>
        <v>0</v>
      </c>
      <c r="E6" s="21">
        <f>COUNTIF('계정·권한'!$G$4:$G$7,"오류")</f>
        <v>0</v>
      </c>
      <c r="F6" s="21">
        <f>COUNTIF('계정·권한'!$G$4:$G$7,"보류")</f>
        <v>0</v>
      </c>
      <c r="G6" s="21">
        <f>COUNTIF('계정·권한'!$G$4:$G$7,"확인 불가")</f>
        <v>0</v>
      </c>
      <c r="H6" s="21">
        <f>COUNTIF('계정·권한'!$G$4:$G$7,"문의")</f>
        <v>0</v>
      </c>
      <c r="I6" s="21">
        <f>COUNTBLANK('계정·권한'!$G$4:$G$7)</f>
        <v>4</v>
      </c>
      <c r="J6" s="22">
        <f>IF(B6=0,0,(B6-I6)/B6)</f>
        <v>0</v>
      </c>
    </row>
    <row r="7" ht="22" customHeight="1">
      <c r="A7" s="20" t="inlineStr">
        <is>
          <t>공통 동작</t>
        </is>
      </c>
      <c r="B7" s="21">
        <f>COUNTA('공통 동작'!$A$4:$A$10)</f>
        <v>7</v>
      </c>
      <c r="C7" s="21">
        <f>COUNTIF('공통 동작'!$G$4:$G$10,"성공")</f>
        <v>0</v>
      </c>
      <c r="D7" s="21">
        <f>COUNTIF('공통 동작'!$G$4:$G$10,"실패")</f>
        <v>0</v>
      </c>
      <c r="E7" s="21">
        <f>COUNTIF('공통 동작'!$G$4:$G$10,"오류")</f>
        <v>0</v>
      </c>
      <c r="F7" s="21">
        <f>COUNTIF('공통 동작'!$G$4:$G$10,"보류")</f>
        <v>0</v>
      </c>
      <c r="G7" s="21">
        <f>COUNTIF('공통 동작'!$G$4:$G$10,"확인 불가")</f>
        <v>0</v>
      </c>
      <c r="H7" s="21">
        <f>COUNTIF('공통 동작'!$G$4:$G$10,"문의")</f>
        <v>0</v>
      </c>
      <c r="I7" s="21">
        <f>COUNTBLANK('공통 동작'!$G$4:$G$10)</f>
        <v>7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16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16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공통 — 메뉴·화면</t>
        </is>
      </c>
    </row>
    <row r="2" ht="24" customHeight="1">
      <c r="A2" s="26" t="inlineStr">
        <is>
          <t>🗂 QA박안전1 창에서 합니다. 1번만 QA하정수1 창과 비교합니다.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QA박안전1(재난안전과) → QA하정수1(담당 공무원)</t>
        </is>
      </c>
      <c r="C4" s="3" t="inlineStr">
        <is>
          <t>화면 맨 위 메뉴 줄</t>
        </is>
      </c>
      <c r="D4" s="17" t="inlineStr">
        <is>
          <t>메뉴 개수</t>
        </is>
      </c>
      <c r="E4" s="3" t="inlineStr">
        <is>
          <t>두 창에서 맨 위 메뉴를 센다</t>
        </is>
      </c>
      <c r="F4" s="3" t="inlineStr">
        <is>
          <t>QA하정수1 창은 10개이고 «시스템 관리»가 없다. QA박안전1 창은 시스템 관리 권한이 있으면 11개(맨 끝 «시스템 관리»), 없으면 10개다</t>
        </is>
      </c>
      <c r="G4" s="29" t="n"/>
      <c r="H4" s="7" t="n"/>
      <c r="I4" s="7" t="n"/>
    </row>
    <row r="5" ht="51" customHeight="1">
      <c r="A5" s="28" t="n">
        <v>2</v>
      </c>
      <c r="B5" s="3" t="inlineStr">
        <is>
          <t>QA박안전1(재난안전과)</t>
        </is>
      </c>
      <c r="C5" s="3" t="inlineStr">
        <is>
          <t>왼쪽 메뉴</t>
        </is>
      </c>
      <c r="D5" s="17" t="inlineStr">
        <is>
          <t>왼쪽 메뉴 묶음 제목</t>
        </is>
      </c>
      <c r="E5" s="3" t="inlineStr">
        <is>
          <t>안전보건교육과 인력·예산의 왼쪽 메뉴를 본다(시스템 관리 권한이 있으면 시스템 관리도)</t>
        </is>
      </c>
      <c r="F5" s="3" t="inlineStr">
        <is>
          <t>묶음 제목(현업근로자 · 관리감독자 · 교육 현황·관리 등)은 눌리지 않고, 지금 화면이 강조돼 있다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QA박안전1(재난안전과)</t>
        </is>
      </c>
      <c r="C6" s="3" t="inlineStr">
        <is>
          <t>화면 맨 위 [전체메뉴]</t>
        </is>
      </c>
      <c r="D6" s="17" t="inlineStr">
        <is>
          <t>전체메뉴</t>
        </is>
      </c>
      <c r="E6" s="3" t="inlineStr">
        <is>
          <t>[전체메뉴] → 아무 항목이나 누른다</t>
        </is>
      </c>
      <c r="F6" s="3" t="inlineStr">
        <is>
          <t>모든 메뉴가 한 창에 보이고 누르면 그 화면으로 간다</t>
        </is>
      </c>
      <c r="G6" s="29" t="n"/>
      <c r="H6" s="7" t="n"/>
      <c r="I6" s="7" t="n"/>
    </row>
    <row r="7" ht="66" customHeight="1">
      <c r="A7" s="28" t="n">
        <v>4</v>
      </c>
      <c r="B7" s="30" t="inlineStr">
        <is>
          <t>QA박안전1(재난안전과)</t>
        </is>
      </c>
      <c r="C7" s="3" t="inlineStr">
        <is>
          <t>화면 맨 위 알림(종)</t>
        </is>
      </c>
      <c r="D7" s="17" t="inlineStr">
        <is>
          <t>알림</t>
        </is>
      </c>
      <c r="E7" s="3" t="inlineStr">
        <is>
          <t>알림을 몇 개 누르고, «해당 화면 바로 열기 →»도 눌러 본다</t>
        </is>
      </c>
      <c r="F7" s="3" t="inlineStr">
        <is>
          <t>누를 때마다 내 할일이나 그 업무 화면으로 간다. 도착한 화면 제목 아래 안내가 «이전 버전 화면»이나 «메뉴에서 제외된 화면»으로 시작하면 실패. 알림이 없으면 «확인 불가»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QA박안전1(재난안전과)</t>
        </is>
      </c>
      <c r="C8" s="3" t="inlineStr">
        <is>
          <t>화면 맨 위 [?]</t>
        </is>
      </c>
      <c r="D8" s="17" t="inlineStr">
        <is>
          <t>도움말</t>
        </is>
      </c>
      <c r="E8" s="3" t="inlineStr">
        <is>
          <t>① 통합 현황 · 이행 관리 · 문서 목록 화면에서 각각 [?]를 누른다
② «자주 하는 일»의 [바로가기 →]를 하나씩 눌러 본다</t>
        </is>
      </c>
      <c r="F8" s="3" t="inlineStr">
        <is>
          <t>지금 화면 설명이 나오고 [바로가기 →]를 누르면 그 화면으로 간다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공통 — 계정·권한</t>
        </is>
      </c>
    </row>
    <row r="2" ht="24" customHeight="1">
      <c r="A2" s="26" t="inlineStr">
        <is>
          <t>🗂 QA박안전1 창과 QA하정수1 창을 나란히 두고 합니다. 8·9번은 결재선 창과 결재 상태 창만 열어 보고 [상신]은 누르지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6</v>
      </c>
      <c r="B4" s="3" t="inlineStr">
        <is>
          <t>QA박안전1(재난안전과) → QA하정수1(담당 공무원)</t>
        </is>
      </c>
      <c r="C4" s="3" t="inlineStr">
        <is>
          <t>화면 오른쪽 위 이름</t>
        </is>
      </c>
      <c r="D4" s="17" t="inlineStr">
        <is>
          <t>창마다 내 계정으로 보인다</t>
        </is>
      </c>
      <c r="E4" s="3" t="inlineStr">
        <is>
          <t>① 두 창의 오른쪽 위 이름을 본다
② 두 창을 모두 새로고침(F5)한다</t>
        </is>
      </c>
      <c r="F4" s="3" t="inlineStr">
        <is>
          <t>각 창에 그 창에서 로그인한 계정 이름이 보이고, 새로고침해도 다른 계정으로 바뀌지 않는다</t>
        </is>
      </c>
      <c r="G4" s="29" t="n"/>
      <c r="H4" s="7" t="n"/>
      <c r="I4" s="7" t="n"/>
    </row>
    <row r="5" ht="81" customHeight="1">
      <c r="A5" s="28" t="n">
        <v>7</v>
      </c>
      <c r="B5" s="3" t="inlineStr">
        <is>
          <t>QA하정수1(담당 공무원)</t>
        </is>
      </c>
      <c r="C5" s="3" t="inlineStr">
        <is>
          <t>여러 화면 (정기·수시 위험성평가 · 이수현황 · 채용시교육 · 내 할일)</t>
        </is>
      </c>
      <c r="D5" s="17" t="inlineStr">
        <is>
          <t>내 부서 것만 보인다</t>
        </is>
      </c>
      <c r="E5" s="3" t="inlineStr">
        <is>
          <t>다섯 화면을 차례로 열고, 부서 조건이 있으면 펼쳐 본다</t>
        </is>
      </c>
      <c r="F5" s="3" t="inlineStr">
        <is>
          <t>위험성평가 두 화면 · 채용시교육 · 내 할일에는 내 부서(물순환사업소) 것만 있고 부서 조건에도 다른 부서가 없다. 이수현황의 부서별 요약에는 다른 부서 완료율도 보이지만(정상) [상세]는 내 부서 줄에만 있다</t>
        </is>
      </c>
      <c r="G5" s="29" t="n"/>
      <c r="H5" s="7" t="n"/>
      <c r="I5" s="7" t="n"/>
    </row>
    <row r="6" ht="141" customHeight="1">
      <c r="A6" s="28" t="n">
        <v>8</v>
      </c>
      <c r="B6" s="3" t="inlineStr">
        <is>
          <t>QA박안전1(재난안전과)</t>
        </is>
      </c>
      <c r="C6" s="3" t="inlineStr">
        <is>
          <t>인력·예산 &gt; 예산 총괄표</t>
        </is>
      </c>
      <c r="D6" s="17" t="inlineStr">
        <is>
          <t>결재선 조직도</t>
        </is>
      </c>
      <c r="E6" s="3" t="inlineStr">
        <is>
          <t>① «작성중» 점검표 하나를 열어 [온나라 결재 상신]
② 검토 [조직도]를 연 채 결재 [조직도]를 누른다
③ 결재 [조직도]를 한 번 더 누른다
④ 조직도에서 군수·부군수와 재난안전과를 펼쳐 본다
⑤ [기본값]을 눌러 기본 결재선을 본다
⑥ [취소]로 닫는다 — [상신]은 누르지 않는다</t>
        </is>
      </c>
      <c r="F6" s="3" t="inlineStr">
        <is>
          <t>조직도는 한 번에 하나만 열리고 다시 누르면 닫힌다. 군수·부군수도 있다. QA박안전1 본인 옆에는 «기안자», 이미 고른 사람 옆에는 «검토 지정됨»·«결재 지정됨»이 붙고 고를 수 없다. 기본 결재선의 검토·결재 칸에 QA박안전1 본인이 없다(못 찾은 칸은 비어 있다). «작성중» 점검표가 없으면 «확인 불가»</t>
        </is>
      </c>
      <c r="G6" s="29" t="n"/>
      <c r="H6" s="7" t="n"/>
      <c r="I6" s="7" t="n"/>
    </row>
    <row r="7" ht="81" customHeight="1">
      <c r="A7" s="28" t="n">
        <v>9</v>
      </c>
      <c r="B7" s="30" t="inlineStr">
        <is>
          <t>QA박안전1(재난안전과)</t>
        </is>
      </c>
      <c r="C7" s="30" t="inlineStr">
        <is>
          <t>인력·예산 &gt; 예산 총괄표</t>
        </is>
      </c>
      <c r="D7" s="17" t="inlineStr">
        <is>
          <t>상신된 문서의 기안자는 바뀌지 않는다</t>
        </is>
      </c>
      <c r="E7" s="3" t="inlineStr">
        <is>
          <t>① 내가 상신하지 않은 상신된(승인완료) 점검표를 연다
② 결재 상태 창을 열고 «결재선:» 줄과 이력 표의 «결재 상신» 줄만 본다
③ [닫기]</t>
        </is>
      </c>
      <c r="F7" s="3" t="inlineStr">
        <is>
          <t>«결재선: 기안 ○○»의 ○○이 같은 창 이력 표의 «결재 상신» 처리자와 같고, 내 계정 이름(QA박안전1)으로 바뀌어 있지 않다. 상신된(승인완료) 점검표가 없으면 «확인 불가»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공통 — 공통 동작</t>
        </is>
      </c>
    </row>
    <row r="2" ht="24" customHeight="1">
      <c r="A2" s="26" t="inlineStr">
        <is>
          <t>🗂 QA박안전1 창에서 합니다. 12번에서 만드는 것에는 내 이름을 붙이고 끝나면 지웁니다.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10</v>
      </c>
      <c r="B4" s="3" t="inlineStr">
        <is>
          <t>QA박안전1(재난안전과)</t>
        </is>
      </c>
      <c r="C4" s="3" t="inlineStr">
        <is>
          <t>등록 창 3곳 이상</t>
        </is>
      </c>
      <c r="D4" s="17" t="inlineStr">
        <is>
          <t>빈 칸 안내</t>
        </is>
      </c>
      <c r="E4" s="3" t="inlineStr">
        <is>
          <t>등록 창 3곳(예: 수시 위험성평가 등록 · 협의체 운영 결과 등록 · 의견 등록)에서 필수 칸을 비우고 저장해 본다 → [취소]로 닫는다</t>
        </is>
      </c>
      <c r="F4" s="3" t="inlineStr">
        <is>
          <t>무엇을 채울지 알려 주고 이미 적은 값은 지워지지 않는다. 빈 채로 저장되면 «실패»</t>
        </is>
      </c>
      <c r="G4" s="29" t="n"/>
      <c r="H4" s="7" t="n"/>
      <c r="I4" s="7" t="n"/>
    </row>
    <row r="5" ht="51" customHeight="1">
      <c r="A5" s="28" t="n">
        <v>11</v>
      </c>
      <c r="B5" s="30" t="inlineStr">
        <is>
          <t>QA박안전1(재난안전과)</t>
        </is>
      </c>
      <c r="C5" s="3" t="inlineStr">
        <is>
          <t>위험성평가 &gt; 수시 위험성평가</t>
        </is>
      </c>
      <c r="D5" s="17" t="inlineStr">
        <is>
          <t>취소하면 저장되지 않는다</t>
        </is>
      </c>
      <c r="E5" s="3" t="inlineStr">
        <is>
          <t>① [＋ 수시평가 등록] → 사유를 골라 등록 창에서 내용을 적고 [취소] → 다시 연다
② 값을 적은 채 다른 메뉴로 갔다가 돌아온다</t>
        </is>
      </c>
      <c r="F5" s="3" t="inlineStr">
        <is>
          <t>저장되지 않고 창이 남아 있지 않다(창 두 개가 겹치면 실패)</t>
        </is>
      </c>
      <c r="G5" s="29" t="n"/>
      <c r="H5" s="7" t="n"/>
      <c r="I5" s="7" t="n"/>
    </row>
    <row r="6" ht="81" customHeight="1">
      <c r="A6" s="28" t="n">
        <v>12</v>
      </c>
      <c r="B6" s="30" t="inlineStr">
        <is>
          <t>QA박안전1(재난안전과)</t>
        </is>
      </c>
      <c r="C6" s="3" t="inlineStr">
        <is>
          <t>안전보건교육 &gt; 교육 현황·관리 &gt; 근로자 명단 관리</t>
        </is>
      </c>
      <c r="D6" s="17" t="inlineStr">
        <is>
          <t>새로고침·뒤로가기</t>
        </is>
      </c>
      <c r="E6" s="3" t="inlineStr">
        <is>
          <t>① [＋ 직접 등록]에서 이름 «윤성현_새로고침», 부서는 내 부서(물순환사업소)로 넣고 [등록]
② 새로고침(F5)
③ 브라우저 [뒤로] → [앞으로]
④ 끝나면 내 줄의 [삭제] → 확인</t>
        </is>
      </c>
      <c r="F6" s="3" t="inlineStr">
        <is>
          <t>오류가 없고 «윤성현_새로고침» 줄이 계속 남아 있다. 삭제하면 그 줄만 사라진다</t>
        </is>
      </c>
      <c r="G6" s="29" t="n"/>
      <c r="H6" s="7" t="n"/>
      <c r="I6" s="7" t="n"/>
    </row>
    <row r="7" ht="66" customHeight="1">
      <c r="A7" s="28" t="n">
        <v>13</v>
      </c>
      <c r="B7" s="30" t="inlineStr">
        <is>
          <t>QA박안전1(재난안전과)</t>
        </is>
      </c>
      <c r="C7" s="3" t="inlineStr">
        <is>
          <t>여러 화면</t>
        </is>
      </c>
      <c r="D7" s="17" t="inlineStr">
        <is>
          <t>아직 안 되는 기능 안내</t>
        </is>
      </c>
      <c r="E7" s="3" t="inlineStr">
        <is>
          <t>파일 이름 누르기 · 양식 내려받기 · PDF 출력 등 3곳을 눌러 본다</t>
        </is>
      </c>
      <c r="F7" s="3" t="inlineStr">
        <is>
          <t>파일이 실제로 열리거나, 안 되는 기능이면 «…후 제공됩니다»처럼 알려 준다. 아무 일도 없거나, 저장이 안 됐는데 «저장했습니다»가 뜨면 실패</t>
        </is>
      </c>
      <c r="G7" s="29" t="n"/>
      <c r="H7" s="7" t="n"/>
      <c r="I7" s="7" t="n"/>
    </row>
    <row r="8" ht="36" customHeight="1">
      <c r="A8" s="28" t="n">
        <v>14</v>
      </c>
      <c r="B8" s="30" t="inlineStr">
        <is>
          <t>QA박안전1(재난안전과)</t>
        </is>
      </c>
      <c r="C8" s="30" t="inlineStr">
        <is>
          <t>여러 화면</t>
        </is>
      </c>
      <c r="D8" s="17" t="inlineStr">
        <is>
          <t>상태 색</t>
        </is>
      </c>
      <c r="E8" s="3" t="inlineStr">
        <is>
          <t>완료 · 진행중 · 기한초과 · 반려가 보이는 화면 3곳을 비교한다</t>
        </is>
      </c>
      <c r="F8" s="3" t="inlineStr">
        <is>
          <t>같은 상태는 같은 이름·같은 색이다</t>
        </is>
      </c>
      <c r="G8" s="29" t="n"/>
      <c r="H8" s="7" t="n"/>
      <c r="I8" s="7" t="n"/>
    </row>
    <row r="9" ht="51" customHeight="1">
      <c r="A9" s="28" t="n">
        <v>15</v>
      </c>
      <c r="B9" s="30" t="inlineStr">
        <is>
          <t>QA박안전1(재난안전과)</t>
        </is>
      </c>
      <c r="C9" s="3" t="inlineStr">
        <is>
          <t>여러 화면 (대시보드 · 정기 위험성평가 · 이수현황 · 문서 목록)</t>
        </is>
      </c>
      <c r="D9" s="17" t="inlineStr">
        <is>
          <t>좁은 화면</t>
        </is>
      </c>
      <c r="E9" s="3" t="inlineStr">
        <is>
          <t>① 브라우저 창을 좁게(휴대폰 폭까지) 줄인다
② 왼쪽 위 메뉴 버튼(줄 세 개)을 누른다</t>
        </is>
      </c>
      <c r="F9" s="3" t="inlineStr">
        <is>
          <t>글자·버튼이 겹치지 않고 화면 전체가 옆으로 밀리지 않는다. 메뉴 버튼을 누르면 왼쪽 메뉴 아래에 «다른 메뉴»가 있다</t>
        </is>
      </c>
      <c r="G9" s="29" t="n"/>
      <c r="H9" s="7" t="n"/>
      <c r="I9" s="7" t="n"/>
    </row>
    <row r="10" ht="51" customHeight="1">
      <c r="A10" s="28" t="n">
        <v>16</v>
      </c>
      <c r="B10" s="30" t="inlineStr">
        <is>
          <t>QA박안전1(재난안전과)</t>
        </is>
      </c>
      <c r="C10" s="3" t="inlineStr">
        <is>
          <t>모든 메뉴</t>
        </is>
      </c>
      <c r="D10" s="17" t="inlineStr">
        <is>
          <t>화면에 제작용 말이 없다</t>
        </is>
      </c>
      <c r="E10" s="3" t="inlineStr">
        <is>
          <t>맨 위 메뉴를 모두 돌며 버튼·안내 문구를 본다</t>
        </is>
      </c>
      <c r="F10" s="3" t="inlineStr">
        <is>
          <t>«데모» · «시연» · «프로토타입» · «더미» · «목업» 같은 말이 없다(있으면 화면과 문구를 메모에)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공통</t>
        </is>
      </c>
    </row>
    <row r="3">
      <c r="A3" t="inlineStr">
        <is>
          <t>담당자</t>
        </is>
      </c>
      <c r="B3" t="inlineStr">
        <is>
          <t>윤성현</t>
        </is>
      </c>
    </row>
    <row r="4">
      <c r="A4" t="inlineStr">
        <is>
          <t>파일 코드</t>
        </is>
      </c>
      <c r="B4" t="inlineStr">
        <is>
          <t>CM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