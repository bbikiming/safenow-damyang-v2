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만들기'!$A$3:$I$11</definedName>
    <definedName name="_xlnm.Print_Titles" localSheetId="2">'1 정기평가 만들기'!$3:$3</definedName>
    <definedName name="_xlnm._FilterDatabase" localSheetId="3" hidden="1">'2 설문조사표·보고서'!$A$3:$I$9</definedName>
    <definedName name="_xlnm.Print_Titles" localSheetId="3">'2 설문조사표·보고서'!$3:$3</definedName>
    <definedName name="_xlnm._FilterDatabase" localSheetId="4" hidden="1">'3 전달·조치·확인'!$A$3:$I$16</definedName>
    <definedName name="_xlnm.Print_Titles" localSheetId="4">'3 전달·조치·확인'!$3:$3</definedName>
    <definedName name="_xlnm._FilterDatabase" localSheetId="5" hidden="1">'4 공문·결재'!$A$3:$I$8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윤성현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윤성현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QA박안전1 (재난안전과 담당자) · QA하정수1 (내 부서 물순환사업소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이혜린 — 진행자만 하는 줄 10개는 진행자 파일에만 있어서 번호가 건너뜁니다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개(QA박안전1 · QA하정수1)만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44줄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QA박안전1(재난안전과), 시크릿 창(Ctrl + Shift + N · 맥 Cmd + Shift + N)에는 QA하정수1(담당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부서(물순환사업소)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QA박안전1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QA하정수1</t>
        </is>
      </c>
      <c r="B60" s="3" t="inlineStr">
        <is>
          <t>담당 공무원 (내 부서: 물순환사업소)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«윤성현_집합교육».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QA박안전1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윤성현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만들기'!$A$4:$A$11)</f>
        <v>8</v>
      </c>
      <c r="C5" s="21">
        <f>COUNTIF('1 정기평가 만들기'!$G$4:$G$11,"성공")</f>
        <v>0</v>
      </c>
      <c r="D5" s="21">
        <f>COUNTIF('1 정기평가 만들기'!$G$4:$G$11,"실패")</f>
        <v>0</v>
      </c>
      <c r="E5" s="21">
        <f>COUNTIF('1 정기평가 만들기'!$G$4:$G$11,"오류")</f>
        <v>0</v>
      </c>
      <c r="F5" s="21">
        <f>COUNTIF('1 정기평가 만들기'!$G$4:$G$11,"보류")</f>
        <v>0</v>
      </c>
      <c r="G5" s="21">
        <f>COUNTIF('1 정기평가 만들기'!$G$4:$G$11,"확인 불가")</f>
        <v>0</v>
      </c>
      <c r="H5" s="21">
        <f>COUNTIF('1 정기평가 만들기'!$G$4:$G$11,"문의")</f>
        <v>0</v>
      </c>
      <c r="I5" s="21">
        <f>COUNTBLANK('1 정기평가 만들기'!$G$4:$G$11)</f>
        <v>8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설문조사표·보고서'!$A$4:$A$9)</f>
        <v>6</v>
      </c>
      <c r="C6" s="21">
        <f>COUNTIF('2 설문조사표·보고서'!$G$4:$G$9,"성공")</f>
        <v>0</v>
      </c>
      <c r="D6" s="21">
        <f>COUNTIF('2 설문조사표·보고서'!$G$4:$G$9,"실패")</f>
        <v>0</v>
      </c>
      <c r="E6" s="21">
        <f>COUNTIF('2 설문조사표·보고서'!$G$4:$G$9,"오류")</f>
        <v>0</v>
      </c>
      <c r="F6" s="21">
        <f>COUNTIF('2 설문조사표·보고서'!$G$4:$G$9,"보류")</f>
        <v>0</v>
      </c>
      <c r="G6" s="21">
        <f>COUNTIF('2 설문조사표·보고서'!$G$4:$G$9,"확인 불가")</f>
        <v>0</v>
      </c>
      <c r="H6" s="21">
        <f>COUNTIF('2 설문조사표·보고서'!$G$4:$G$9,"문의")</f>
        <v>0</v>
      </c>
      <c r="I6" s="21">
        <f>COUNTBLANK('2 설문조사표·보고서'!$G$4:$G$9)</f>
        <v>6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전달·조치·확인'!$A$4:$A$16)</f>
        <v>13</v>
      </c>
      <c r="C7" s="21">
        <f>COUNTIF('3 전달·조치·확인'!$G$4:$G$16,"성공")</f>
        <v>0</v>
      </c>
      <c r="D7" s="21">
        <f>COUNTIF('3 전달·조치·확인'!$G$4:$G$16,"실패")</f>
        <v>0</v>
      </c>
      <c r="E7" s="21">
        <f>COUNTIF('3 전달·조치·확인'!$G$4:$G$16,"오류")</f>
        <v>0</v>
      </c>
      <c r="F7" s="21">
        <f>COUNTIF('3 전달·조치·확인'!$G$4:$G$16,"보류")</f>
        <v>0</v>
      </c>
      <c r="G7" s="21">
        <f>COUNTIF('3 전달·조치·확인'!$G$4:$G$16,"확인 불가")</f>
        <v>0</v>
      </c>
      <c r="H7" s="21">
        <f>COUNTIF('3 전달·조치·확인'!$G$4:$G$16,"문의")</f>
        <v>0</v>
      </c>
      <c r="I7" s="21">
        <f>COUNTBLANK('3 전달·조치·확인'!$G$4:$G$16)</f>
        <v>13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공문·결재'!$A$4:$A$8)</f>
        <v>5</v>
      </c>
      <c r="C8" s="21">
        <f>COUNTIF('4 공문·결재'!$G$4:$G$8,"성공")</f>
        <v>0</v>
      </c>
      <c r="D8" s="21">
        <f>COUNTIF('4 공문·결재'!$G$4:$G$8,"실패")</f>
        <v>0</v>
      </c>
      <c r="E8" s="21">
        <f>COUNTIF('4 공문·결재'!$G$4:$G$8,"오류")</f>
        <v>0</v>
      </c>
      <c r="F8" s="21">
        <f>COUNTIF('4 공문·결재'!$G$4:$G$8,"보류")</f>
        <v>0</v>
      </c>
      <c r="G8" s="21">
        <f>COUNTIF('4 공문·결재'!$G$4:$G$8,"확인 불가")</f>
        <v>0</v>
      </c>
      <c r="H8" s="21">
        <f>COUNTIF('4 공문·결재'!$G$4:$G$8,"문의")</f>
        <v>0</v>
      </c>
      <c r="I8" s="21">
        <f>COUNTBLANK('4 공문·결재'!$G$4:$G$8)</f>
        <v>5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44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44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QA박안전1(재난안전과)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QA박안전1(재난안전과)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QA하정수1(담당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QA하정수1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QA박안전1(재난안전과)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QA박안전1(재난안전과)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QA박안전1(재난안전과)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부서(물순환사업소)가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8</v>
      </c>
      <c r="B10" s="30" t="inlineStr">
        <is>
          <t>QA박안전1(재난안전과)</t>
        </is>
      </c>
      <c r="C10" s="30" t="inlineStr">
        <is>
          <t>위험성평가 &gt; 정기 위험성평가</t>
        </is>
      </c>
      <c r="D10" s="11" t="inlineStr">
        <is>
          <t>새로고침해도 그대로</t>
        </is>
      </c>
      <c r="E10" s="3" t="inlineStr">
        <is>
          <t>«평가 만듦»이 오면 브라우저 새로고침(F5)</t>
        </is>
      </c>
      <c r="F10" s="3" t="inlineStr">
        <is>
          <t>«2026년 정기 위험성평가» 제목과 7개 부서·점검일이 보인다. 오른쪽 위에 «정기평가는 연 1회 등록 원칙»이 보인다</t>
        </is>
      </c>
      <c r="G10" s="29" t="n"/>
      <c r="H10" s="7" t="n"/>
      <c r="I10" s="7" t="n"/>
    </row>
    <row r="11" ht="51" customHeight="1">
      <c r="A11" s="28" t="n">
        <v>9</v>
      </c>
      <c r="B11" s="30" t="inlineStr">
        <is>
          <t>QA박안전1(재난안전과)</t>
        </is>
      </c>
      <c r="C11" s="30" t="inlineStr">
        <is>
          <t>위험성평가 &gt; 정기 위험성평가</t>
        </is>
      </c>
      <c r="D11" s="11" t="inlineStr">
        <is>
          <t>로그인 남은 시간</t>
        </is>
      </c>
      <c r="E11" s="3" t="inlineStr">
        <is>
          <t>화면 맨 위에 로그인 남은 시간이 보이는지 본다. 30분이 지나 끊기면 다시 로그인한다</t>
        </is>
      </c>
      <c r="F11" s="3" t="inlineStr">
        <is>
          <t>남은 시간이 보이고, 30분이 지나면 로그인 화면으로 간다. 다시 로그인하면 이어서 할 수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QA하정수1(담당 공무원)</t>
        </is>
      </c>
      <c r="C4" s="3" t="inlineStr">
        <is>
          <t>위험성평가 &gt; 정기 위험성평가</t>
        </is>
      </c>
      <c r="D4" s="11" t="inlineStr">
        <is>
          <t>내 부서가 작성본을 낸다</t>
        </is>
      </c>
      <c r="E4" s="3" t="inlineStr">
        <is>
          <t>«양식 올림»이 오면 ① 내 부서 진행 카드에 공통 양식이 있는지 본다
② 작성본을 제출한다
③ 단체방에 «제출 끝»</t>
        </is>
      </c>
      <c r="F4" s="3" t="inlineStr">
        <is>
          <t>제출자(QA하정수1)·제출일이 남고 표의 «제출본» 칸에 바로 보인다. 다른 부서 줄에는 제출 버튼이 없다</t>
        </is>
      </c>
      <c r="G4" s="29" t="n"/>
      <c r="H4" s="7" t="n"/>
      <c r="I4" s="7" t="n"/>
    </row>
    <row r="5" ht="66" customHeight="1">
      <c r="A5" s="28" t="n">
        <v>15</v>
      </c>
      <c r="B5" s="3" t="inlineStr">
        <is>
          <t>QA하정수1(담당 공무원) → QA박안전1(재난안전과)</t>
        </is>
      </c>
      <c r="C5" s="30" t="inlineStr">
        <is>
          <t>위험성평가 &gt; 정기 위험성평가</t>
        </is>
      </c>
      <c r="D5" s="11" t="inlineStr">
        <is>
          <t>보고서를 올린 뒤에는 설문조사표를 못 바꾼다</t>
        </is>
      </c>
      <c r="E5" s="3" t="inlineStr">
        <is>
          <t>«보고서 올림»이 오면 ① QA하정수1 창에서 내 부서 제출본 바꾸기를 시도한다
② QA박안전1 창에서 내 부서 양식 바꾸기를 시도한다</t>
        </is>
      </c>
      <c r="F5" s="3" t="inlineStr">
        <is>
          <t>«보고서가 등록되어 … 더 이상 바꿀 수 없습니다»가 뜨고 파일은 «🔒 열람»으로만 남는다</t>
        </is>
      </c>
      <c r="G5" s="29" t="n"/>
      <c r="H5" s="7" t="n"/>
      <c r="I5" s="7" t="n"/>
    </row>
    <row r="6" ht="51" customHeight="1">
      <c r="A6" s="28" t="n">
        <v>16</v>
      </c>
      <c r="B6" s="3" t="inlineStr">
        <is>
          <t>QA박안전1(재난안전과)</t>
        </is>
      </c>
      <c r="C6" s="30" t="inlineStr">
        <is>
          <t>위험성평가 &gt; 정기 위험성평가</t>
        </is>
      </c>
      <c r="D6" s="11" t="inlineStr">
        <is>
          <t>내 부서 개선조치 적기</t>
        </is>
      </c>
      <c r="E6" s="3" t="inlineStr">
        <is>
          <t>내 부서(물순환사업소) 줄에 유해위험요인·원인·개선조치·담당자(QA하정수1)를 채운 행 3개를 만든다</t>
        </is>
      </c>
      <c r="F6" s="3" t="inlineStr">
        <is>
          <t>적은 행 3개가 저장된다</t>
        </is>
      </c>
      <c r="G6" s="29" t="n"/>
      <c r="H6" s="7" t="n"/>
      <c r="I6" s="7" t="n"/>
    </row>
    <row r="7" ht="51" customHeight="1">
      <c r="A7" s="28" t="n">
        <v>17</v>
      </c>
      <c r="B7" s="30" t="inlineStr">
        <is>
          <t>QA박안전1(재난안전과)</t>
        </is>
      </c>
      <c r="C7" s="30" t="inlineStr">
        <is>
          <t>위험성평가 &gt; 정기 위험성평가</t>
        </is>
      </c>
      <c r="D7" s="11" t="inlineStr">
        <is>
          <t>시설물 칸 3가지 상태</t>
        </is>
      </c>
      <c r="E7" s="3" t="inlineStr">
        <is>
          <t>16번의 행 3개 중 ① 하나는 시설물을 지정
② 하나는 [해당 없음]
③ 하나는 그대로 둔다</t>
        </is>
      </c>
      <c r="F7" s="3" t="inlineStr">
        <is>
          <t>«지정 / 해당 없음 / 미지정»이 서로 다르게 보이고 어느 것도 다음 단계를 막지 않는다</t>
        </is>
      </c>
      <c r="G7" s="29" t="n"/>
      <c r="H7" s="7" t="n"/>
      <c r="I7" s="7" t="n"/>
    </row>
    <row r="8" ht="96" customHeight="1">
      <c r="A8" s="28" t="n">
        <v>18</v>
      </c>
      <c r="B8" s="30" t="inlineStr">
        <is>
          <t>QA박안전1(재난안전과)</t>
        </is>
      </c>
      <c r="C8" s="3" t="inlineStr">
        <is>
          <t>관리대상 &gt; 시설물 위험도</t>
        </is>
      </c>
      <c r="D8" s="11" t="inlineStr">
        <is>
          <t>시설물에서 넘어와 행 추가</t>
        </is>
      </c>
      <c r="E8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8" s="3" t="inlineStr">
        <is>
          <t>위에 «시설물 ○○ 에서 넘어왔습니다» 안내가 있고 새 행에 그 시설물이 채워져 있다</t>
        </is>
      </c>
      <c r="G8" s="29" t="n"/>
      <c r="H8" s="7" t="n"/>
      <c r="I8" s="7" t="n"/>
    </row>
    <row r="9" ht="51" customHeight="1">
      <c r="A9" s="28" t="n">
        <v>19</v>
      </c>
      <c r="B9" s="30" t="inlineStr">
        <is>
          <t>QA박안전1(재난안전과)</t>
        </is>
      </c>
      <c r="C9" s="3" t="inlineStr">
        <is>
          <t>위험성평가 &gt; 정기 위험성평가</t>
        </is>
      </c>
      <c r="D9" s="11" t="inlineStr">
        <is>
          <t>여럿이 적어도 내 행이 남는다</t>
        </is>
      </c>
      <c r="E9" s="3" t="inlineStr">
        <is>
          <t>모두 «개선조치 적음»을 알리면 새로고침 → 내 부서 줄과 다른 부서 줄을 본다</t>
        </is>
      </c>
      <c r="F9" s="3" t="inlineStr">
        <is>
          <t>16번에 적은 3행이 그대로이고 다른 사람이 적은 부서의 행도 보인다. 내 행이 사라졌거나 다른 값으로 바뀌었으면 «실패»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QA박안전1 창과 QA하정수1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23</v>
      </c>
      <c r="B4" s="3" t="inlineStr">
        <is>
          <t>QA하정수1(담당 공무원) → QA박안전1(재난안전과)</t>
        </is>
      </c>
      <c r="C4" s="3" t="inlineStr">
        <is>
          <t>위험성평가 &gt; 정기 위험성평가</t>
        </is>
      </c>
      <c r="D4" s="11" t="inlineStr">
        <is>
          <t>누가 어느 부서를 보나</t>
        </is>
      </c>
      <c r="E4" s="3" t="inlineStr">
        <is>
          <t>«전달함»이 오면 ① QA하정수1 창에서 부서별 조치 표를 본다
② QA박안전1 창에서 같은 표를 본다</t>
        </is>
      </c>
      <c r="F4" s="3" t="inlineStr">
        <is>
          <t>QA하정수1 계정에는 내 부서 줄만 보이고 다른 부서를 열 수단이 없다. QA박안전1 계정에는 대상 부서가 다 보인다</t>
        </is>
      </c>
      <c r="G4" s="29" t="n"/>
      <c r="H4" s="7" t="n"/>
      <c r="I4" s="7" t="n"/>
    </row>
    <row r="5" ht="51" customHeight="1">
      <c r="A5" s="28" t="n">
        <v>24</v>
      </c>
      <c r="B5" s="3" t="inlineStr">
        <is>
          <t>QA하정수1(담당 공무원)</t>
        </is>
      </c>
      <c r="C5" s="3" t="inlineStr">
        <is>
          <t>대시보드 &gt; 내 할일</t>
        </is>
      </c>
      <c r="D5" s="11" t="inlineStr">
        <is>
          <t>조치 완료는 사진·내용·서명이 있어야</t>
        </is>
      </c>
      <c r="E5" s="3" t="inlineStr">
        <is>
          <t>① 개선조치 하나의 완료 처리를 연다
② 사진 없이 저장 → 사진만 넣고 저장 → 내용까지 넣고 서명 없이 저장</t>
        </is>
      </c>
      <c r="F5" s="3" t="inlineStr">
        <is>
          <t>차례로 «개선 후 사진을…» «조치 내용을 입력하세요.» «완료 확인 서명(이름)을…»으로 막힌다. 적은 값은 남아 있다</t>
        </is>
      </c>
      <c r="G5" s="29" t="n"/>
      <c r="H5" s="7" t="n"/>
      <c r="I5" s="7" t="n"/>
    </row>
    <row r="6" ht="36" customHeight="1">
      <c r="A6" s="28" t="n">
        <v>25</v>
      </c>
      <c r="B6" s="30" t="inlineStr">
        <is>
          <t>QA하정수1(담당 공무원)</t>
        </is>
      </c>
      <c r="C6" s="30" t="inlineStr">
        <is>
          <t>대시보드 &gt; 내 할일</t>
        </is>
      </c>
      <c r="D6" s="11" t="inlineStr">
        <is>
          <t>조치 완료하기</t>
        </is>
      </c>
      <c r="E6" s="3" t="inlineStr">
        <is>
          <t>사진·내용·서명을 모두 채워 완료 → 하나 더 완료(3건 중 2건)</t>
        </is>
      </c>
      <c r="F6" s="3" t="inlineStr">
        <is>
          <t>완료되고 «확인 대기»가 붙는다. 내 할일에는 내 부서 건만 있다</t>
        </is>
      </c>
      <c r="G6" s="29" t="n"/>
      <c r="H6" s="7" t="n"/>
      <c r="I6" s="7" t="n"/>
    </row>
    <row r="7" ht="51" customHeight="1">
      <c r="A7" s="28" t="n">
        <v>26</v>
      </c>
      <c r="B7" s="3" t="inlineStr">
        <is>
          <t>QA박안전1(재난안전과)</t>
        </is>
      </c>
      <c r="C7" s="3" t="inlineStr">
        <is>
          <t>위험성평가 &gt; 정기 위험성평가</t>
        </is>
      </c>
      <c r="D7" s="11" t="inlineStr">
        <is>
          <t>담당자·기한을 바꿀 땐 사유가 필요</t>
        </is>
      </c>
      <c r="E7" s="3" t="inlineStr">
        <is>
          <t>내 부서 상세에서 아직 완료하지 않은 1건의 기한을 어제로 바꾼다 ① 사유 없이 저장
② 사유를 넣고 저장</t>
        </is>
      </c>
      <c r="F7" s="3" t="inlineStr">
        <is>
          <t>사유 없이는 «변경 사유를 입력하세요.» 저장하면 이력에 «기한 A → B — 사유»가 남고 그 건이 기한 초과로 보인다</t>
        </is>
      </c>
      <c r="G7" s="29" t="n"/>
      <c r="H7" s="7" t="n"/>
      <c r="I7" s="7" t="n"/>
    </row>
    <row r="8" ht="51" customHeight="1">
      <c r="A8" s="28" t="n">
        <v>27</v>
      </c>
      <c r="B8" s="30" t="inlineStr">
        <is>
          <t>QA박안전1(재난안전과)</t>
        </is>
      </c>
      <c r="C8" s="30" t="inlineStr">
        <is>
          <t>위험성평가 &gt; 정기 위험성평가</t>
        </is>
      </c>
      <c r="D8" s="11" t="inlineStr">
        <is>
          <t>기한 지난 건 재촉</t>
        </is>
      </c>
      <c r="E8" s="3" t="inlineStr">
        <is>
          <t>26번 건의 [재촉]</t>
        </is>
      </c>
      <c r="F8" s="3" t="inlineStr">
        <is>
          <t>«재촉 알림을 발송했습니다», 이력에 보낸 사람이 QA박안전1 계정으로 남는다. 완료한 건에는 재촉 버튼이 없다</t>
        </is>
      </c>
      <c r="G8" s="29" t="n"/>
      <c r="H8" s="7" t="n"/>
      <c r="I8" s="7" t="n"/>
    </row>
    <row r="9" ht="36" customHeight="1">
      <c r="A9" s="28" t="n">
        <v>28</v>
      </c>
      <c r="B9" s="3" t="inlineStr">
        <is>
          <t>QA하정수1(담당 공무원)</t>
        </is>
      </c>
      <c r="C9" s="30" t="inlineStr">
        <is>
          <t>위험성평가 &gt; 정기 위험성평가</t>
        </is>
      </c>
      <c r="D9" s="11" t="inlineStr">
        <is>
          <t>담당 공무원에게는 확인·재촉 버튼이 없다</t>
        </is>
      </c>
      <c r="E9" s="3" t="inlineStr">
        <is>
          <t>QA하정수1 창에서 내 부서 상세를 연다</t>
        </is>
      </c>
      <c r="F9" s="3" t="inlineStr">
        <is>
          <t>볼 수는 있지만 [재촉]·[확인]·[반려]가 없다</t>
        </is>
      </c>
      <c r="G9" s="29" t="n"/>
      <c r="H9" s="7" t="n"/>
      <c r="I9" s="7" t="n"/>
    </row>
    <row r="10" ht="51" customHeight="1">
      <c r="A10" s="28" t="n">
        <v>29</v>
      </c>
      <c r="B10" s="3" t="inlineStr">
        <is>
          <t>QA박안전1(재난안전과)</t>
        </is>
      </c>
      <c r="C10" s="30" t="inlineStr">
        <is>
          <t>위험성평가 &gt; 정기 위험성평가</t>
        </is>
      </c>
      <c r="D10" s="11" t="inlineStr">
        <is>
          <t>완료 확인 — 열람 체크를 해야 확인된다</t>
        </is>
      </c>
      <c r="E10" s="3" t="inlineStr">
        <is>
          <t>① 내 부서 상세의 확인 대기 카드 하나
② 체크 없이 [확인]
③ «…열람했습니다»를 체크하고 [확인]</t>
        </is>
      </c>
      <c r="F10" s="3" t="inlineStr">
        <is>
          <t>체크 전에는 [확인]이 눌리지 않는다. 확인하면 «확인 완료»가 된다</t>
        </is>
      </c>
      <c r="G10" s="29" t="n"/>
      <c r="H10" s="7" t="n"/>
      <c r="I10" s="7" t="n"/>
    </row>
    <row r="11" ht="51" customHeight="1">
      <c r="A11" s="28" t="n">
        <v>30</v>
      </c>
      <c r="B11" s="30" t="inlineStr">
        <is>
          <t>QA박안전1(재난안전과)</t>
        </is>
      </c>
      <c r="C11" s="30" t="inlineStr">
        <is>
          <t>위험성평가 &gt; 정기 위험성평가</t>
        </is>
      </c>
      <c r="D11" s="11" t="inlineStr">
        <is>
          <t>반려는 사유가 있어야</t>
        </is>
      </c>
      <c r="E11" s="3" t="inlineStr">
        <is>
          <t>내 부서의 다른 확인 대기 건을 ① 사유 없이 반려
② 사유를 넣고 반려</t>
        </is>
      </c>
      <c r="F11" s="3" t="inlineStr">
        <is>
          <t>사유 없이는 «반려 사유를 입력하세요 — …»로 막히고, 반려하면 카드에 사유와 회차가 보인다</t>
        </is>
      </c>
      <c r="G11" s="29" t="n"/>
      <c r="H11" s="7" t="n"/>
      <c r="I11" s="7" t="n"/>
    </row>
    <row r="12" ht="51" customHeight="1">
      <c r="A12" s="28" t="n">
        <v>31</v>
      </c>
      <c r="B12" s="3" t="inlineStr">
        <is>
          <t>QA하정수1(담당 공무원)</t>
        </is>
      </c>
      <c r="C12" s="3" t="inlineStr">
        <is>
          <t>대시보드 &gt; 내 할일</t>
        </is>
      </c>
      <c r="D12" s="11" t="inlineStr">
        <is>
          <t>반려된 건을 다시 낸다</t>
        </is>
      </c>
      <c r="E12" s="3" t="inlineStr">
        <is>
          <t>① 내 할일에 반려 건이 다시 떠 있는지 본다
② [재제출]로 다시 완료
③ 26번에서 기한을 바꾼 건도 완료한다</t>
        </is>
      </c>
      <c r="F12" s="3" t="inlineStr">
        <is>
          <t>반려 건이 할 일에 다시 있고 사유가 보인다. 재제출하면 «확인 대기»로 돌아간다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QA박안전1(재난안전과)</t>
        </is>
      </c>
      <c r="C13" s="3" t="inlineStr">
        <is>
          <t>위험성평가 &gt; 정기 위험성평가</t>
        </is>
      </c>
      <c r="D13" s="11" t="inlineStr">
        <is>
          <t>확인이 덜 끝나면 공문을 못 쓴다</t>
        </is>
      </c>
      <c r="E13" s="3" t="inlineStr">
        <is>
          <t>공문(온나라 이관) 영역을 본다</t>
        </is>
      </c>
      <c r="F13" s="3" t="inlineStr">
        <is>
          <t>«전 건 확인 완료 후 기안할 수 있습니다 (확인 대기 N건 · 반려 M건)»처럼 남은 건수를 알려 준다. 다른 사람 부서의 건도 함께 센다</t>
        </is>
      </c>
      <c r="G13" s="29" t="n"/>
      <c r="H13" s="7" t="n"/>
      <c r="I13" s="7" t="n"/>
    </row>
    <row r="14" ht="36" customHeight="1">
      <c r="A14" s="28" t="n">
        <v>33</v>
      </c>
      <c r="B14" s="30" t="inlineStr">
        <is>
          <t>QA박안전1(재난안전과)</t>
        </is>
      </c>
      <c r="C14" s="30" t="inlineStr">
        <is>
          <t>위험성평가 &gt; 정기 위험성평가</t>
        </is>
      </c>
      <c r="D14" s="11" t="inlineStr">
        <is>
          <t>내 부서 확인 마치기</t>
        </is>
      </c>
      <c r="E14" s="3" t="inlineStr">
        <is>
          <t>내 부서의 확인 대기 건을 모두 확인한다 → 단체방에 «확인 끝»</t>
        </is>
      </c>
      <c r="F14" s="3" t="inlineStr">
        <is>
          <t>내 부서가 완료 부서로 세어진다</t>
        </is>
      </c>
      <c r="G14" s="29" t="n"/>
      <c r="H14" s="7" t="n"/>
      <c r="I14" s="7" t="n"/>
    </row>
    <row r="15" ht="51" customHeight="1">
      <c r="A15" s="28" t="n">
        <v>34</v>
      </c>
      <c r="B15" s="30" t="inlineStr">
        <is>
          <t>QA박안전1(재난안전과)</t>
        </is>
      </c>
      <c r="C15" s="30" t="inlineStr">
        <is>
          <t>위험성평가 &gt; 정기 위험성평가</t>
        </is>
      </c>
      <c r="D15" s="11" t="inlineStr">
        <is>
          <t>전 부서 확인이 끝나면 공문을 쓸 수 있다</t>
        </is>
      </c>
      <c r="E15" s="3" t="inlineStr">
        <is>
          <t>모두 «확인 끝»을 알리면 새로고침</t>
        </is>
      </c>
      <c r="F15" s="3" t="inlineStr">
        <is>
          <t>모든 부서가 완료(또는 지적사항 없음)이고 공문 영역이 «전 부서 확인 완료 — 공문을 작성해…»로 바뀐다</t>
        </is>
      </c>
      <c r="G15" s="29" t="n"/>
      <c r="H15" s="7" t="n"/>
      <c r="I15" s="7" t="n"/>
    </row>
    <row r="16" ht="51" customHeight="1">
      <c r="A16" s="28" t="n">
        <v>35</v>
      </c>
      <c r="B16" s="30" t="inlineStr">
        <is>
          <t>QA박안전1(재난안전과)</t>
        </is>
      </c>
      <c r="C16" s="30" t="inlineStr">
        <is>
          <t>위험성평가 &gt; 정기 위험성평가</t>
        </is>
      </c>
      <c r="D16" s="11" t="inlineStr">
        <is>
          <t>이력 탭</t>
        </is>
      </c>
      <c r="E16" s="3" t="inlineStr">
        <is>
          <t>[이력] 탭을 연다</t>
        </is>
      </c>
      <c r="F16" s="3" t="inlineStr">
        <is>
          <t>만들기·첨부·전달·재촉·변경·확인·반려가 시간순으로 있고, 누가 했는지 사람마다 다른 계정 이름으로 남아 있다</t>
        </is>
      </c>
      <c r="G16" s="29" t="n"/>
      <c r="H16" s="7" t="n"/>
      <c r="I16" s="7" t="n"/>
    </row>
  </sheetData>
  <autoFilter ref="A3:I16"/>
  <mergeCells count="2">
    <mergeCell ref="A1:I1"/>
    <mergeCell ref="A2:I2"/>
  </mergeCells>
  <conditionalFormatting sqref="G4:G1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6">
    <cfRule type="expression" priority="7" dxfId="7">
      <formula>AND(OR($G4="실패",$G4="오류",$G4="문의"),$H4="")</formula>
    </cfRule>
  </conditionalFormatting>
  <dataValidations count="1">
    <dataValidation sqref="G4:G1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QA박안전1(재난안전과)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기안자(QA박안전1)는 흐리게 보이고 고를 수 없다. 칸이 비면 상신이 막히고 이유가 나온다</t>
        </is>
      </c>
      <c r="G4" s="29" t="n"/>
      <c r="H4" s="7" t="n"/>
      <c r="I4" s="7" t="n"/>
    </row>
    <row r="5" ht="51" customHeight="1">
      <c r="A5" s="28" t="n">
        <v>38</v>
      </c>
      <c r="B5" s="30" t="inlineStr">
        <is>
          <t>QA박안전1(재난안전과)</t>
        </is>
      </c>
      <c r="C5" s="30" t="inlineStr">
        <is>
          <t>위험성평가 &gt; 정기 위험성평가</t>
        </is>
      </c>
      <c r="D5" s="11" t="inlineStr">
        <is>
          <t>상신 뒤에는 잠긴다</t>
        </is>
      </c>
      <c r="E5" s="3" t="inlineStr">
        <is>
          <t>«상신함»이 오면 ① 내 부서 상세에서 확인한 건을 확인 취소·반려해 본다
② 단체방에 «잠김 확인 끝»</t>
        </is>
      </c>
      <c r="F5" s="3" t="inlineStr">
        <is>
          <t>할 수 없고 잠긴 이유가 나온다</t>
        </is>
      </c>
      <c r="G5" s="29" t="n"/>
      <c r="H5" s="7" t="n"/>
      <c r="I5" s="7" t="n"/>
    </row>
    <row r="6" ht="36" customHeight="1">
      <c r="A6" s="28" t="n">
        <v>39</v>
      </c>
      <c r="B6" s="3" t="inlineStr">
        <is>
          <t>QA하정수1(담당 공무원)</t>
        </is>
      </c>
      <c r="C6" s="30" t="inlineStr">
        <is>
          <t>위험성평가 &gt; 정기 위험성평가</t>
        </is>
      </c>
      <c r="D6" s="11" t="inlineStr">
        <is>
          <t>담당 공무원에게는 공문 버튼이 없다</t>
        </is>
      </c>
      <c r="E6" s="3" t="inlineStr">
        <is>
          <t>QA하정수1 창에서 같은 화면을 본다</t>
        </is>
      </c>
      <c r="F6" s="3" t="inlineStr">
        <is>
          <t>[공문 기안]·[온나라로 결재 상신]이 없다</t>
        </is>
      </c>
      <c r="G6" s="29" t="n"/>
      <c r="H6" s="7" t="n"/>
      <c r="I6" s="7" t="n"/>
    </row>
    <row r="7" ht="36" customHeight="1">
      <c r="A7" s="28" t="n">
        <v>41</v>
      </c>
      <c r="B7" s="3" t="inlineStr">
        <is>
          <t>QA박안전1(재난안전과)</t>
        </is>
      </c>
      <c r="C7" s="30" t="inlineStr">
        <is>
          <t>위험성평가 &gt; 정기 위험성평가</t>
        </is>
      </c>
      <c r="D7" s="11" t="inlineStr">
        <is>
          <t>끝난 평가</t>
        </is>
      </c>
      <c r="E7" s="3" t="inlineStr">
        <is>
          <t>«결재 완료 확인»이 오면 새로고침 → [결재 상태]를 연다</t>
        </is>
      </c>
      <c r="F7" s="3" t="inlineStr">
        <is>
          <t>평가가 끝난 상태로 보이고 결재 상태가 결재완료 · «내부 처리»다</t>
        </is>
      </c>
      <c r="G7" s="29" t="n"/>
      <c r="H7" s="7" t="n"/>
      <c r="I7" s="7" t="n"/>
    </row>
    <row r="8" ht="51" customHeight="1">
      <c r="A8" s="28" t="n">
        <v>42</v>
      </c>
      <c r="B8" s="30" t="inlineStr">
        <is>
          <t>QA박안전1(재난안전과)</t>
        </is>
      </c>
      <c r="C8" s="30" t="inlineStr">
        <is>
          <t>위험성평가 &gt; 정기 위험성평가</t>
        </is>
      </c>
      <c r="D8" s="11" t="inlineStr">
        <is>
          <t>지난 평가 둘러보기</t>
        </is>
      </c>
      <c r="E8" s="3" t="inlineStr">
        <is>
          <t>① 연도를 2025로 바꾼다
② [문서 보기]·[결재 상태]·부서 상세를 연다
③ 설문조사표 파일 이름을 누른다</t>
        </is>
      </c>
      <c r="F8" s="3" t="inlineStr">
        <is>
          <t>창이 잘 열린다. 파일은 열리거나 «…연계 후 제공됩니다» 안내가 뜬다. 2025년 자료가 없으면 «확인 불가»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QA하정수1(담당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부서(물순환사업소)로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QA박안전1(재난안전과)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QA하정수1(담당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QA하정수1(담당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QA하정수1(담당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QA하정수1(담당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«윤성현_설비변경작업»,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QA박안전1(재난안전과)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«윤성현_설비변경작업»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QA하정수1(담당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QA박안전1(재난안전과)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QA하정수1(담당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QA박안전1(재난안전과)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QA하정수1(담당 공무원) → QA박안전1(재난안전과)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QA하정수1 계정에는 내 부서 건만 보이고 다른 사람이 올린 건은 없다. QA박안전1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윤성현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