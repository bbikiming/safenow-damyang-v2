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통합 현황" sheetId="3" state="visible" r:id="rId3"/>
    <sheet xmlns:r="http://schemas.openxmlformats.org/officeDocument/2006/relationships" name="내 할일" sheetId="4" state="visible" r:id="rId4"/>
    <sheet xmlns:r="http://schemas.openxmlformats.org/officeDocument/2006/relationships" name="_정보" sheetId="5" state="hidden" r:id="rId5"/>
  </sheets>
  <definedNames>
    <definedName name="_xlnm._FilterDatabase" localSheetId="2" hidden="1">'통합 현황'!$A$3:$I$9</definedName>
    <definedName name="_xlnm.Print_Titles" localSheetId="2">'통합 현황'!$3:$3</definedName>
    <definedName name="_xlnm._FilterDatabase" localSheetId="3" hidden="1">'내 할일'!$A$3:$I$9</definedName>
    <definedName name="_xlnm.Print_Titles" localSheetId="3">'내 할일'!$3:$3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대시보드 · 윤성현</t>
        </is>
      </c>
    </row>
    <row r="3" ht="22" customHeight="1">
      <c r="A3" s="2" t="inlineStr">
        <is>
          <t>메뉴</t>
        </is>
      </c>
      <c r="B3" s="3" t="inlineStr">
        <is>
          <t>대시보드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윤성현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대시보드의 통합 현황과 내 할일을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12줄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통합 현황 → 내 할일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대시보드 · 윤성현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통합 현황</t>
        </is>
      </c>
      <c r="B5" s="21">
        <f>COUNTA('통합 현황'!$A$4:$A$9)</f>
        <v>6</v>
      </c>
      <c r="C5" s="21">
        <f>COUNTIF('통합 현황'!$G$4:$G$9,"성공")</f>
        <v>0</v>
      </c>
      <c r="D5" s="21">
        <f>COUNTIF('통합 현황'!$G$4:$G$9,"실패")</f>
        <v>0</v>
      </c>
      <c r="E5" s="21">
        <f>COUNTIF('통합 현황'!$G$4:$G$9,"오류")</f>
        <v>0</v>
      </c>
      <c r="F5" s="21">
        <f>COUNTIF('통합 현황'!$G$4:$G$9,"보류")</f>
        <v>0</v>
      </c>
      <c r="G5" s="21">
        <f>COUNTIF('통합 현황'!$G$4:$G$9,"확인 불가")</f>
        <v>0</v>
      </c>
      <c r="H5" s="21">
        <f>COUNTIF('통합 현황'!$G$4:$G$9,"문의")</f>
        <v>0</v>
      </c>
      <c r="I5" s="21">
        <f>COUNTBLANK('통합 현황'!$G$4:$G$9)</f>
        <v>6</v>
      </c>
      <c r="J5" s="22">
        <f>IF(B5=0,0,(B5-I5)/B5)</f>
        <v>0</v>
      </c>
    </row>
    <row r="6" ht="22" customHeight="1">
      <c r="A6" s="20" t="inlineStr">
        <is>
          <t>내 할일</t>
        </is>
      </c>
      <c r="B6" s="21">
        <f>COUNTA('내 할일'!$A$4:$A$9)</f>
        <v>6</v>
      </c>
      <c r="C6" s="21">
        <f>COUNTIF('내 할일'!$G$4:$G$9,"성공")</f>
        <v>0</v>
      </c>
      <c r="D6" s="21">
        <f>COUNTIF('내 할일'!$G$4:$G$9,"실패")</f>
        <v>0</v>
      </c>
      <c r="E6" s="21">
        <f>COUNTIF('내 할일'!$G$4:$G$9,"오류")</f>
        <v>0</v>
      </c>
      <c r="F6" s="21">
        <f>COUNTIF('내 할일'!$G$4:$G$9,"보류")</f>
        <v>0</v>
      </c>
      <c r="G6" s="21">
        <f>COUNTIF('내 할일'!$G$4:$G$9,"확인 불가")</f>
        <v>0</v>
      </c>
      <c r="H6" s="21">
        <f>COUNTIF('내 할일'!$G$4:$G$9,"문의")</f>
        <v>0</v>
      </c>
      <c r="I6" s="21">
        <f>COUNTBLANK('내 할일'!$G$4:$G$9)</f>
        <v>6</v>
      </c>
      <c r="J6" s="22">
        <f>IF(B6=0,0,(B6-I6)/B6)</f>
        <v>0</v>
      </c>
    </row>
    <row r="7" ht="24" customHeight="1">
      <c r="A7" s="23" t="inlineStr">
        <is>
          <t>합계</t>
        </is>
      </c>
      <c r="B7" s="24">
        <f>SUM(B5:B6)</f>
        <v>12</v>
      </c>
      <c r="C7" s="24">
        <f>SUM(C5:C6)</f>
        <v>0</v>
      </c>
      <c r="D7" s="24">
        <f>SUM(D5:D6)</f>
        <v>0</v>
      </c>
      <c r="E7" s="24">
        <f>SUM(E5:E6)</f>
        <v>0</v>
      </c>
      <c r="F7" s="24">
        <f>SUM(F5:F6)</f>
        <v>0</v>
      </c>
      <c r="G7" s="24">
        <f>SUM(G5:G6)</f>
        <v>0</v>
      </c>
      <c r="H7" s="24">
        <f>SUM(H5:H6)</f>
        <v>0</v>
      </c>
      <c r="I7" s="24">
        <f>SUM(I5:I6)</f>
        <v>12</v>
      </c>
      <c r="J7" s="25">
        <f>IF(B7=0,0,(B7-I7)/B7)</f>
        <v>0</v>
      </c>
    </row>
  </sheetData>
  <mergeCells count="2">
    <mergeCell ref="A1:J1"/>
    <mergeCell ref="A2:J2"/>
  </mergeCells>
  <conditionalFormatting sqref="J5:J7">
    <cfRule type="dataBar" priority="1">
      <dataBar showValue="1">
        <cfvo type="num" val="0"/>
        <cfvo type="num" val="1"/>
        <color rgb="0063BE7B"/>
      </dataBar>
    </cfRule>
  </conditionalFormatting>
  <conditionalFormatting sqref="D5:D7">
    <cfRule type="cellIs" priority="2" operator="greaterThan" dxfId="0">
      <formula>0</formula>
    </cfRule>
  </conditionalFormatting>
  <conditionalFormatting sqref="E5:E7">
    <cfRule type="cellIs" priority="3" operator="greaterThan" dxfId="0">
      <formula>0</formula>
    </cfRule>
  </conditionalFormatting>
  <conditionalFormatting sqref="H5:H7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대시보드 — 통합 현황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</v>
      </c>
      <c r="B4" s="3" t="inlineStr">
        <is>
          <t>김담양 → 홍길동 → 박안전 → 하정수</t>
        </is>
      </c>
      <c r="C4" s="3" t="inlineStr">
        <is>
          <t>대시보드 &gt; 통합 현황</t>
        </is>
      </c>
      <c r="D4" s="17" t="inlineStr">
        <is>
          <t>계정마다 첫 화면이 다르다</t>
        </is>
      </c>
      <c r="E4" s="3" t="inlineStr">
        <is>
          <t>계정을 바꿔 가며 통합 현황을 본다</t>
        </is>
      </c>
      <c r="F4" s="3" t="inlineStr">
        <is>
          <t>계정마다 구성이 다르고 오류가 없다. 하정수는 자기 부서 숫자만 보인다</t>
        </is>
      </c>
      <c r="G4" s="29" t="n"/>
      <c r="H4" s="7" t="n"/>
      <c r="I4" s="7" t="n"/>
    </row>
    <row r="5" ht="36" customHeight="1">
      <c r="A5" s="28" t="n">
        <v>2</v>
      </c>
      <c r="B5" s="3" t="inlineStr">
        <is>
          <t>김담양</t>
        </is>
      </c>
      <c r="C5" s="30" t="inlineStr">
        <is>
          <t>대시보드 &gt; 통합 현황</t>
        </is>
      </c>
      <c r="D5" s="17" t="inlineStr">
        <is>
          <t>숫자 카드 누르기</t>
        </is>
      </c>
      <c r="E5" s="3" t="inlineStr">
        <is>
          <t>«기한 초과 업무» · «온나라 상신 중» · «중대재해 발생» 카드를 누른다</t>
        </is>
      </c>
      <c r="F5" s="3" t="inlineStr">
        <is>
          <t>내 할일 · 경영방침 · 현황 통계로 가고 카드 숫자와 도착 화면 숫자가 맞다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김담양</t>
        </is>
      </c>
      <c r="C6" s="30" t="inlineStr">
        <is>
          <t>대시보드 &gt; 통합 현황</t>
        </is>
      </c>
      <c r="D6" s="17" t="inlineStr">
        <is>
          <t>원료·제조물 개소</t>
        </is>
      </c>
      <c r="E6" s="3" t="inlineStr">
        <is>
          <t>«중대시민재해 관리대상 기본현황»의 원료·제조물 칸을 본다</t>
        </is>
      </c>
      <c r="F6" s="3" t="inlineStr">
        <is>
          <t>숫자가 보인다(못 세면 «집계 불가»). 0이면 실패</t>
        </is>
      </c>
      <c r="G6" s="29" t="n"/>
      <c r="H6" s="7" t="n"/>
      <c r="I6" s="7" t="n"/>
    </row>
    <row r="7" ht="36" customHeight="1">
      <c r="A7" s="28" t="n">
        <v>4</v>
      </c>
      <c r="B7" s="3" t="inlineStr">
        <is>
          <t>김담양 → 홍길동</t>
        </is>
      </c>
      <c r="C7" s="30" t="inlineStr">
        <is>
          <t>대시보드 &gt; 통합 현황</t>
        </is>
      </c>
      <c r="D7" s="17" t="inlineStr">
        <is>
          <t>결재 관련 문구</t>
        </is>
      </c>
      <c r="E7" s="3" t="inlineStr">
        <is>
          <t>결재 관련 카드 문구를 본다</t>
        </is>
      </c>
      <c r="F7" s="3" t="inlineStr">
        <is>
          <t>«온나라 상신 중»이라고 쓰고 «결재 대기»라고 하지 않는다</t>
        </is>
      </c>
      <c r="G7" s="29" t="n"/>
      <c r="H7" s="7" t="n"/>
      <c r="I7" s="7" t="n"/>
    </row>
    <row r="8" ht="36" customHeight="1">
      <c r="A8" s="28" t="n">
        <v>5</v>
      </c>
      <c r="B8" s="3" t="inlineStr">
        <is>
          <t>박안전</t>
        </is>
      </c>
      <c r="C8" s="30" t="inlineStr">
        <is>
          <t>대시보드 &gt; 통합 현황</t>
        </is>
      </c>
      <c r="D8" s="17" t="inlineStr">
        <is>
          <t>목록·달력 보기</t>
        </is>
      </c>
      <c r="E8" s="3" t="inlineStr">
        <is>
          <t>[목록] ↔ [달력 보기] → 달력의 일정을 누른다</t>
        </is>
      </c>
      <c r="F8" s="3" t="inlineStr">
        <is>
          <t>같은 일정이 양쪽에 있고 누르면 그 업무 화면으로 간다</t>
        </is>
      </c>
      <c r="G8" s="29" t="n"/>
      <c r="H8" s="7" t="n"/>
      <c r="I8" s="7" t="n"/>
    </row>
    <row r="9" ht="36" customHeight="1">
      <c r="A9" s="28" t="n">
        <v>6</v>
      </c>
      <c r="B9" s="3" t="inlineStr">
        <is>
          <t>김담양</t>
        </is>
      </c>
      <c r="C9" s="30" t="inlineStr">
        <is>
          <t>대시보드 &gt; 통합 현황</t>
        </is>
      </c>
      <c r="D9" s="17" t="inlineStr">
        <is>
          <t>부서 × 의무 표</t>
        </is>
      </c>
      <c r="E9" s="3" t="inlineStr">
        <is>
          <t>✓ · ─ · ! 칸을 몇 개 눌러 본다</t>
        </is>
      </c>
      <c r="F9" s="3" t="inlineStr">
        <is>
          <t>그 화면으로 이동한다(눌러도 아무 일이 없는 칸이 없다)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대시보드 — 내 할일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7</v>
      </c>
      <c r="B4" s="3" t="inlineStr">
        <is>
          <t>박안전</t>
        </is>
      </c>
      <c r="C4" s="3" t="inlineStr">
        <is>
          <t>대시보드 &gt; 내 할일</t>
        </is>
      </c>
      <c r="D4" s="17" t="inlineStr">
        <is>
          <t>탭과 숫자</t>
        </is>
      </c>
      <c r="E4" s="3" t="inlineStr">
        <is>
          <t>[마감 할일] · [담당 문서] · [완료한 업무] → 위 칩(배정 대기 · 지연 · 이번주 · 전체)을 누른다</t>
        </is>
      </c>
      <c r="F4" s="3" t="inlineStr">
        <is>
          <t>탭 숫자와 목록 줄 수가 같고, 칩을 누르면 그 조건으로 걸러진다</t>
        </is>
      </c>
      <c r="G4" s="29" t="n"/>
      <c r="H4" s="7" t="n"/>
      <c r="I4" s="7" t="n"/>
    </row>
    <row r="5" ht="36" customHeight="1">
      <c r="A5" s="28" t="n">
        <v>8</v>
      </c>
      <c r="B5" s="3" t="inlineStr">
        <is>
          <t>박안전 → 하정수</t>
        </is>
      </c>
      <c r="C5" s="30" t="inlineStr">
        <is>
          <t>대시보드 &gt; 내 할일</t>
        </is>
      </c>
      <c r="D5" s="17" t="inlineStr">
        <is>
          <t>부서 바꿔 보기</t>
        </is>
      </c>
      <c r="E5" s="3" t="inlineStr">
        <is>
          <t>박안전: «부서 관점 전환»으로 부서를 바꾼다 → 하정수로 바꿔 본다</t>
        </is>
      </c>
      <c r="F5" s="3" t="inlineStr">
        <is>
          <t>박안전은 부서를 바꾸면 목록이 바뀐다. 하정수에게는 전환 칸이 없다</t>
        </is>
      </c>
      <c r="G5" s="29" t="n"/>
      <c r="H5" s="7" t="n"/>
      <c r="I5" s="7" t="n"/>
    </row>
    <row r="6" ht="51" customHeight="1">
      <c r="A6" s="28" t="n">
        <v>9</v>
      </c>
      <c r="B6" s="3" t="inlineStr">
        <is>
          <t>박안전</t>
        </is>
      </c>
      <c r="C6" s="30" t="inlineStr">
        <is>
          <t>대시보드 &gt; 내 할일</t>
        </is>
      </c>
      <c r="D6" s="17" t="inlineStr">
        <is>
          <t>파일을 올려 끝내는 할 일</t>
        </is>
      </c>
      <c r="E6" s="3" t="inlineStr">
        <is>
          <t>«산업안전보건위원회 반기 회의록 등록»의 [파일 첨부] → 파일 없이 [첨부 완료] → 파일을 골라 [첨부 완료]</t>
        </is>
      </c>
      <c r="F6" s="3" t="inlineStr">
        <is>
          <t>파일이 없으면 «첨부할 파일을 선택하세요.» 첨부하면 완료한 업무로 옮겨 간다</t>
        </is>
      </c>
      <c r="G6" s="29" t="n"/>
      <c r="H6" s="7" t="n"/>
      <c r="I6" s="7" t="n"/>
    </row>
    <row r="7" ht="36" customHeight="1">
      <c r="A7" s="28" t="n">
        <v>10</v>
      </c>
      <c r="B7" s="30" t="inlineStr">
        <is>
          <t>박안전</t>
        </is>
      </c>
      <c r="C7" s="30" t="inlineStr">
        <is>
          <t>대시보드 &gt; 내 할일</t>
        </is>
      </c>
      <c r="D7" s="17" t="inlineStr">
        <is>
          <t>다른 화면으로 가는 할 일</t>
        </is>
      </c>
      <c r="E7" s="3" t="inlineStr">
        <is>
          <t>«의무이행 점검표 반기 마감» · «경영방침 결재 요청» 카드를 누른다</t>
        </is>
      </c>
      <c r="F7" s="3" t="inlineStr">
        <is>
          <t>이행점검 · 경영방침으로 간다. 결재 요청 카드의 버튼은 «상신 상태 보기»</t>
        </is>
      </c>
      <c r="G7" s="29" t="n"/>
      <c r="H7" s="7" t="n"/>
      <c r="I7" s="7" t="n"/>
    </row>
    <row r="8" ht="36" customHeight="1">
      <c r="A8" s="28" t="n">
        <v>11</v>
      </c>
      <c r="B8" s="30" t="inlineStr">
        <is>
          <t>박안전</t>
        </is>
      </c>
      <c r="C8" s="30" t="inlineStr">
        <is>
          <t>대시보드 &gt; 내 할일</t>
        </is>
      </c>
      <c r="D8" s="17" t="inlineStr">
        <is>
          <t>미분류 문서 카드</t>
        </is>
      </c>
      <c r="E8" s="3" t="inlineStr">
        <is>
          <t>«문서 원장 미분류 N건 분류 확인»의 [분류하러 가기]</t>
        </is>
      </c>
      <c r="F8" s="3" t="inlineStr">
        <is>
          <t>문서 목록이 미분류 조건으로 열리고 숫자가 카드와 같다</t>
        </is>
      </c>
      <c r="G8" s="29" t="n"/>
      <c r="H8" s="7" t="n"/>
      <c r="I8" s="7" t="n"/>
    </row>
    <row r="9" ht="34" customHeight="1">
      <c r="A9" s="28" t="n">
        <v>12</v>
      </c>
      <c r="B9" s="30" t="inlineStr">
        <is>
          <t>박안전</t>
        </is>
      </c>
      <c r="C9" s="30" t="inlineStr">
        <is>
          <t>대시보드 &gt; 내 할일</t>
        </is>
      </c>
      <c r="D9" s="17" t="inlineStr">
        <is>
          <t>새로고침 버튼</t>
        </is>
      </c>
      <c r="E9" s="3" t="inlineStr">
        <is>
          <t>[동기화]</t>
        </is>
      </c>
      <c r="F9" s="3" t="inlineStr">
        <is>
          <t>«내 할일 목록을 새로고침했습니다.»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대시보드</t>
        </is>
      </c>
    </row>
    <row r="3">
      <c r="A3" t="inlineStr">
        <is>
          <t>담당자</t>
        </is>
      </c>
      <c r="B3" t="inlineStr">
        <is>
          <t>윤성현</t>
        </is>
      </c>
    </row>
    <row r="4">
      <c r="A4" t="inlineStr">
        <is>
          <t>파일 코드</t>
        </is>
      </c>
      <c r="B4" t="inlineStr">
        <is>
          <t>DB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