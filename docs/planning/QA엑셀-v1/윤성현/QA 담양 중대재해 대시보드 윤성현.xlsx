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통합 현황" sheetId="3" state="visible" r:id="rId3"/>
    <sheet xmlns:r="http://schemas.openxmlformats.org/officeDocument/2006/relationships" name="내 할일" sheetId="4" state="visible" r:id="rId4"/>
    <sheet xmlns:r="http://schemas.openxmlformats.org/officeDocument/2006/relationships" name="_정보" sheetId="5" state="hidden" r:id="rId5"/>
  </sheets>
  <definedNames>
    <definedName name="_xlnm._FilterDatabase" localSheetId="2" hidden="1">'통합 현황'!$A$3:$I$7</definedName>
    <definedName name="_xlnm.Print_Titles" localSheetId="2">'통합 현황'!$3:$3</definedName>
    <definedName name="_xlnm._FilterDatabase" localSheetId="3" hidden="1">'내 할일'!$A$3:$I$10</definedName>
    <definedName name="_xlnm.Print_Titles" localSheetId="3">'내 할일'!$3:$3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color rgb="000563C1"/>
      <sz val="10.5"/>
      <u val="single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  <font>
      <name val="맑은 고딕"/>
      <i val="1"/>
      <color rgb="007F7F7F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y.damyang.go.kr/login" TargetMode="Externa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대시보드 · 윤성현</t>
        </is>
      </c>
    </row>
    <row r="3" ht="22" customHeight="1">
      <c r="A3" s="2" t="inlineStr">
        <is>
          <t>메뉴</t>
        </is>
      </c>
      <c r="B3" s="3" t="inlineStr">
        <is>
          <t>대시보드 (훑어보는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윤성현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내 계정</t>
        </is>
      </c>
      <c r="B5" s="3" t="inlineStr">
        <is>
          <t>QA박안전1 (재난안전과 담당자) · QA하정수1 (내 부서 물순환사업소 담당 공무원)</t>
        </is>
      </c>
      <c r="C5" s="4" t="n"/>
      <c r="D5" s="4" t="n"/>
      <c r="E5" s="4" t="n"/>
      <c r="F5" s="4" t="n"/>
      <c r="G5" s="4" t="n"/>
      <c r="H5" s="5" t="n"/>
    </row>
    <row r="6" ht="36" customHeight="1">
      <c r="A6" s="2" t="inlineStr">
        <is>
          <t>이 파일</t>
        </is>
      </c>
      <c r="B6" s="3" t="inlineStr">
        <is>
          <t>대시보드의 통합 현황과 내 할일을 봅니다. QA박안전1 · QA하정수1 두 계정 모두 담당자용 첫 화면이라 구성은 같고, 숫자는 각 계정 부서의 것입니다.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줄 수</t>
        </is>
      </c>
      <c r="B7" s="3" t="inlineStr">
        <is>
          <t>11줄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시트</t>
        </is>
      </c>
      <c r="B8" s="3" t="inlineStr">
        <is>
          <t>통합 현황 → 내 할일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테스트 주소</t>
        </is>
      </c>
      <c r="B9" s="6" t="inlineStr">
        <is>
          <t>https://safety.damyang.go.kr/login</t>
        </is>
      </c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브라우저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기기</t>
        </is>
      </c>
      <c r="B11" s="7" t="n"/>
      <c r="C11" s="4" t="n"/>
      <c r="D11" s="4" t="n"/>
      <c r="E11" s="4" t="n"/>
      <c r="F11" s="4" t="n"/>
      <c r="G11" s="4" t="n"/>
      <c r="H11" s="5" t="n"/>
    </row>
    <row r="12" ht="22" customHeight="1">
      <c r="A12" s="2" t="inlineStr">
        <is>
          <t>시작한 날</t>
        </is>
      </c>
      <c r="B12" s="8" t="n"/>
      <c r="C12" s="4" t="n"/>
      <c r="D12" s="4" t="n"/>
      <c r="E12" s="4" t="n"/>
      <c r="F12" s="4" t="n"/>
      <c r="G12" s="4" t="n"/>
      <c r="H12" s="5" t="n"/>
    </row>
    <row r="14" ht="24" customHeight="1">
      <c r="A14" s="9" t="inlineStr">
        <is>
          <t>이렇게 하면 됩니다</t>
        </is>
      </c>
    </row>
    <row r="15" ht="36" customHeight="1">
      <c r="A15" s="10" t="inlineStr">
        <is>
          <t>① 위 «테스트 주소»에서 받은 아이디·비밀번호로 로그인합니다. 로그인하면 통합 현황 화면으로 갑니다. 5번 틀리면 계정이 잠깁니다 — 담당 개발자에게 풀어 달라고 합니다.</t>
        </is>
      </c>
    </row>
    <row r="16" ht="36" customHeight="1">
      <c r="A16" s="10" t="inlineStr">
        <is>
          <t>② 내 계정 두 개를 창 두 개에 따로 로그인해 둡니다 — 일반 창에는 QA박안전1(재난안전과), 시크릿 창(Ctrl + Shift + N · 맥 Cmd + Shift + N)에는 QA하정수1(담당 공무원). 두 창을 나란히 두면 계정을 바꿀 필요가 없습니다.</t>
        </is>
      </c>
    </row>
    <row r="17" ht="21" customHeight="1">
      <c r="A17" s="10" t="inlineStr">
        <is>
          <t>③ «누구로» 칸에 적힌 계정의 창에서 «어디서» 메뉴로 가서 «해 볼 것»대로 눌러 봅니다.</t>
        </is>
      </c>
    </row>
    <row r="18" ht="21" customHeight="1">
      <c r="A18" s="10" t="inlineStr">
        <is>
          <t>④ «이러면 성공»과 같으면 «결과» 칸에서 성공을, 다르면 실패·오류 등을 고릅니다.</t>
        </is>
      </c>
    </row>
    <row r="19" ht="21" customHeight="1">
      <c r="A19" s="10" t="inlineStr">
        <is>
          <t>⑤ 실패·오류·문의면 «메모»에 한 줄 적고, 필요하면 «사진» 칸에 화면 캡처를 붙여넣습니다.</t>
        </is>
      </c>
    </row>
    <row r="21" ht="24" customHeight="1">
      <c r="A21" s="9" t="inlineStr">
        <is>
          <t>결과 고르는 법</t>
        </is>
      </c>
    </row>
    <row r="22" ht="22" customHeight="1">
      <c r="A22" s="2" t="inlineStr">
        <is>
          <t>결과</t>
        </is>
      </c>
      <c r="B22" s="2" t="inlineStr">
        <is>
          <t>이럴 때 고르세요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1" t="inlineStr">
        <is>
          <t>성공</t>
        </is>
      </c>
      <c r="B23" s="3" t="inlineStr">
        <is>
          <t>«이러면 성공»대로 된다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2" t="inlineStr">
        <is>
          <t>실패</t>
        </is>
      </c>
      <c r="B24" s="3" t="inlineStr">
        <is>
          <t>되긴 하는데 설명과 다르다 — 막혀야 하는데 저장된다, 문구·숫자가 틀리다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3" t="inlineStr">
        <is>
          <t>오류</t>
        </is>
      </c>
      <c r="B25" s="3" t="inlineStr">
        <is>
          <t>화면이 멈추거나 깨진다, 눌러도 아무 일이 없다, 오류 창이 뜬다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4" t="inlineStr">
        <is>
          <t>보류</t>
        </is>
      </c>
      <c r="B26" s="3" t="inlineStr">
        <is>
          <t>앞 단계가 안 돼서 지금은 못 한다 — 메모에 이유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5" t="inlineStr">
        <is>
          <t>확인 불가</t>
        </is>
      </c>
      <c r="B27" s="3" t="inlineStr">
        <is>
          <t>이 환경에서는 볼 수 없다 — 예: 확인할 데이터가 없다</t>
        </is>
      </c>
      <c r="C27" s="4" t="n"/>
      <c r="D27" s="4" t="n"/>
      <c r="E27" s="4" t="n"/>
      <c r="F27" s="4" t="n"/>
      <c r="G27" s="4" t="n"/>
      <c r="H27" s="5" t="n"/>
    </row>
    <row r="28" ht="22" customHeight="1">
      <c r="A28" s="16" t="inlineStr">
        <is>
          <t>문의</t>
        </is>
      </c>
      <c r="B28" s="3" t="inlineStr">
        <is>
          <t>맞는지 헷갈린다 — 메모에 궁금한 점</t>
        </is>
      </c>
      <c r="C28" s="4" t="n"/>
      <c r="D28" s="4" t="n"/>
      <c r="E28" s="4" t="n"/>
      <c r="F28" s="4" t="n"/>
      <c r="G28" s="4" t="n"/>
      <c r="H28" s="5" t="n"/>
    </row>
    <row r="30" ht="24" customHeight="1">
      <c r="A30" s="9" t="inlineStr">
        <is>
          <t>사진 붙이는 법</t>
        </is>
      </c>
    </row>
    <row r="31" ht="21" customHeight="1">
      <c r="A31" s="10" t="inlineStr">
        <is>
          <t>• 윈도우: Win + Shift + S → 영역 선택 → 엑셀에서 그 줄의 «사진» 칸을 누르고 Ctrl + V</t>
        </is>
      </c>
    </row>
    <row r="32" ht="21" customHeight="1">
      <c r="A32" s="10" t="inlineStr">
        <is>
          <t>• 맥: Cmd + Ctrl + Shift + 4 → 영역 선택 → 엑셀에서 그 줄의 «사진» 칸을 누르고 Cmd + V</t>
        </is>
      </c>
    </row>
    <row r="33" ht="21" customHeight="1">
      <c r="A33" s="10" t="inlineStr">
        <is>
          <t>• 사진이 크면 모서리를 끌어 줄이세요. 사진은 그 줄 «사진» 칸 위에 두면 됩니다 — 취합할 때 줄 번호로 찾습니다.</t>
        </is>
      </c>
    </row>
    <row r="34" ht="21" customHeight="1">
      <c r="A34" s="10" t="inlineStr">
        <is>
          <t>• 사진은 떠 있는 그대로 두세요(«셀에 배치»로 넣으면 취합할 때 꺼내지 못합니다).</t>
        </is>
      </c>
    </row>
    <row r="36" ht="24" customHeight="1">
      <c r="A36" s="9" t="inlineStr">
        <is>
          <t>누구로 — 내 계정 두 개</t>
        </is>
      </c>
    </row>
    <row r="37" ht="21" customHeight="1">
      <c r="A37" s="10" t="inlineStr">
        <is>
          <t>• 계정은 두 개뿐입니다. «누구로» 칸에 계정 이름과 권한이 함께 적혀 있습니다. 비밀번호는 따로 받습니다.</t>
        </is>
      </c>
    </row>
    <row r="38" ht="22" customHeight="1">
      <c r="A38" s="2" t="inlineStr">
        <is>
          <t>이름</t>
        </is>
      </c>
      <c r="B38" s="2" t="inlineStr">
        <is>
          <t>권한</t>
        </is>
      </c>
      <c r="C38" s="5" t="n"/>
      <c r="D38" s="2" t="inlineStr">
        <is>
          <t>볼 수 있는 것</t>
        </is>
      </c>
      <c r="E38" s="5" t="n"/>
      <c r="F38" s="2" t="inlineStr">
        <is>
          <t>주로 하는 것</t>
        </is>
      </c>
      <c r="G38" s="4" t="n"/>
      <c r="H38" s="5" t="n"/>
    </row>
    <row r="39" ht="22" customHeight="1">
      <c r="A39" s="17" t="inlineStr">
        <is>
          <t>QA박안전1</t>
        </is>
      </c>
      <c r="B39" s="3" t="inlineStr">
        <is>
          <t>재난안전과 담당자</t>
        </is>
      </c>
      <c r="C39" s="5" t="n"/>
      <c r="D39" s="3" t="inlineStr">
        <is>
          <t>모든 부서 · «내 할일»은 전체</t>
        </is>
      </c>
      <c r="E39" s="5" t="n"/>
      <c r="F39" s="3" t="inlineStr">
        <is>
          <t>전 부서 등록·수정 · 확인 · 상신 · 독촉 — 대부분 이 계정</t>
        </is>
      </c>
      <c r="G39" s="4" t="n"/>
      <c r="H39" s="5" t="n"/>
    </row>
    <row r="40" ht="51" customHeight="1">
      <c r="A40" s="17" t="inlineStr">
        <is>
          <t>QA하정수1</t>
        </is>
      </c>
      <c r="B40" s="3" t="inlineStr">
        <is>
          <t>담당 공무원 (내 부서: 물순환사업소)</t>
        </is>
      </c>
      <c r="C40" s="5" t="n"/>
      <c r="D40" s="3" t="inlineStr">
        <is>
          <t>업무 화면은 전 부서, «내 할일»은 나에게 지정된 것만, 위험성평가 부서별 조치표·교육 이수현황은 내 부서만</t>
        </is>
      </c>
      <c r="E40" s="5" t="n"/>
      <c r="F40" s="3" t="inlineStr">
        <is>
          <t>내 부서 일 · 남의 부서 것을 못 건드리는지 확인</t>
        </is>
      </c>
      <c r="G40" s="4" t="n"/>
      <c r="H40" s="5" t="n"/>
    </row>
    <row r="41" ht="22" customHeight="1">
      <c r="A41" s="17" t="inlineStr">
        <is>
          <t>QA시스템관리</t>
        </is>
      </c>
      <c r="B41" s="3" t="inlineStr">
        <is>
          <t>시스템 관리자 (김유석만)</t>
        </is>
      </c>
      <c r="C41" s="5" t="n"/>
      <c r="D41" s="3" t="inlineStr">
        <is>
          <t>시스템 관리 메뉴</t>
        </is>
      </c>
      <c r="E41" s="5" t="n"/>
      <c r="F41" s="3" t="inlineStr">
        <is>
          <t>시스템 관리 파일 · 공문 반려(결재 대행)</t>
        </is>
      </c>
      <c r="G41" s="4" t="n"/>
      <c r="H41" s="5" t="n"/>
    </row>
    <row r="43" ht="24" customHeight="1">
      <c r="A43" s="9" t="inlineStr">
        <is>
          <t>같은 서버를 6명이 함께 씁니다</t>
        </is>
      </c>
    </row>
    <row r="44" ht="21" customHeight="1">
      <c r="A44" s="10" t="inlineStr">
        <is>
          <t>• 내가 만드는 것(교육 · 근로자 · 문서 · 위원 등)은 이름 앞에 내 이름을 붙입니다 — 예: «윤성현_집합교육». 그래야 내 것을 찾기 쉽습니다.</t>
        </is>
      </c>
    </row>
    <row r="45" ht="21" customHeight="1">
      <c r="A45" s="10" t="inlineStr">
        <is>
          <t>• 다른 사람이 만든 것은 고치거나 지우지 않습니다. QA박안전1 계정에는 남의 것도 보이는데, 정상입니다.</t>
        </is>
      </c>
    </row>
    <row r="46" ht="21" customHeight="1">
      <c r="A46" s="10" t="inlineStr">
        <is>
          <t>• 건수·이수율 같은 숫자는 다른 사람이 작업하는 동안 바뀔 수 있습니다. 숫자가 안 맞으면 새로고침해서 한 번 더 보고, 그래도 다르면 «실패».</t>
        </is>
      </c>
    </row>
    <row r="48" ht="24" customHeight="1">
      <c r="A48" s="9" t="inlineStr">
        <is>
          <t>알아 두면 좋은 것 (결함이 아닙니다)</t>
        </is>
      </c>
    </row>
    <row r="49" ht="21" customHeight="1">
      <c r="A49" s="10" t="inlineStr">
        <is>
          <t>• 기한·D-day는 서버의 오늘 날짜 기준입니다.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«이러면 성공»의 «» 안 문구와 화면 글자가 조금 다르고(띄어쓰기·마침표·어순) 뜻이 같으면 «문의»로 고르고 화면 문구를 메모에 적습니다.</t>
        </is>
      </c>
    </row>
    <row r="52" ht="21" customHeight="1">
      <c r="A52" s="10" t="inlineStr">
        <is>
          <t>• 온나라 연계 전까지 결재는 시스템 안에서 끝납니다 — 상신하면 바로 «결재완료»가 되고 «내부 처리»로 표시됩니다. 결재자가 로그인해 승인할 일은 없습니다.</t>
        </is>
      </c>
    </row>
    <row r="53" ht="21" customHeight="1">
      <c r="A53" s="10" t="inlineStr">
        <is>
          <t>• 로그인은 30분이 지나면 끊깁니다(작업 중이어도). 다시 로그인하고 이어서 합니다.</t>
        </is>
      </c>
    </row>
    <row r="54" ht="21" customHeight="1">
      <c r="A54" s="10" t="inlineStr">
        <is>
          <t>• 독촉·재촉 알림은 실제 직원에게 가고 되돌릴 수 없습니다. 내 부서 건만 1건씩 누릅니다.</t>
        </is>
      </c>
    </row>
    <row r="55" ht="21" customHeight="1">
      <c r="A55" s="10" t="inlineStr">
        <is>
          <t>• 과장·팀장이 담당자를 지정하는 흐름과 «내 할일»의 ‹자기 부서 전체› 보기는 과장 계정이 없어 이번 QA 범위 밖입니다.</t>
        </is>
      </c>
    </row>
    <row r="56" ht="21" customHeight="1">
      <c r="A56" s="10" t="inlineStr">
        <is>
          <t>• 순서를 놓쳤거나 확인할 자료가 서버에 없으면 «확인 불가»를 고르고 메모에 이유를 적습니다.</t>
        </is>
      </c>
    </row>
  </sheetData>
  <mergeCells count="51">
    <mergeCell ref="B9:H9"/>
    <mergeCell ref="A15:H15"/>
    <mergeCell ref="F41:H41"/>
    <mergeCell ref="A51:H51"/>
    <mergeCell ref="B6:H6"/>
    <mergeCell ref="B24:H24"/>
    <mergeCell ref="A49:H49"/>
    <mergeCell ref="D40:E40"/>
    <mergeCell ref="A1:H1"/>
    <mergeCell ref="A45:H45"/>
    <mergeCell ref="B5:H5"/>
    <mergeCell ref="B39:C39"/>
    <mergeCell ref="F38:H38"/>
    <mergeCell ref="B26:H26"/>
    <mergeCell ref="B4:H4"/>
    <mergeCell ref="A16:H16"/>
    <mergeCell ref="A54:H54"/>
    <mergeCell ref="B7:H7"/>
    <mergeCell ref="B25:H25"/>
    <mergeCell ref="A37:H37"/>
    <mergeCell ref="B3:H3"/>
    <mergeCell ref="D41:E41"/>
    <mergeCell ref="F39:H39"/>
    <mergeCell ref="A46:H46"/>
    <mergeCell ref="A18:H18"/>
    <mergeCell ref="B22:H22"/>
    <mergeCell ref="A50:H50"/>
    <mergeCell ref="B38:C38"/>
    <mergeCell ref="A56:H56"/>
    <mergeCell ref="A55:H55"/>
    <mergeCell ref="B27:H27"/>
    <mergeCell ref="B12:H12"/>
    <mergeCell ref="A33:H33"/>
    <mergeCell ref="B11:H11"/>
    <mergeCell ref="B40:C40"/>
    <mergeCell ref="A32:H32"/>
    <mergeCell ref="B23:H23"/>
    <mergeCell ref="A17:H17"/>
    <mergeCell ref="D39:E39"/>
    <mergeCell ref="B8:H8"/>
    <mergeCell ref="A53:H53"/>
    <mergeCell ref="A52:H52"/>
    <mergeCell ref="D38:E38"/>
    <mergeCell ref="F40:H40"/>
    <mergeCell ref="A19:H19"/>
    <mergeCell ref="A44:H44"/>
    <mergeCell ref="B10:H10"/>
    <mergeCell ref="B41:C41"/>
    <mergeCell ref="A31:H31"/>
    <mergeCell ref="B28:H28"/>
    <mergeCell ref="A34:H34"/>
  </mergeCells>
  <dataValidations count="2">
    <dataValidation sqref="B10" showDropDown="0" showInputMessage="0" showErrorMessage="0" allowBlank="1" type="list">
      <formula1>"크롬,엣지,웨일,사파리,파이어폭스,기타"</formula1>
    </dataValidation>
    <dataValidation sqref="B11" showDropDown="0" showInputMessage="0" showErrorMessage="0" allowBlank="1" type="list">
      <formula1>"윈도우 PC,맥,태블릿,휴대폰"</formula1>
    </dataValidation>
  </dataValidations>
  <hyperlinks>
    <hyperlink xmlns:r="http://schemas.openxmlformats.org/officeDocument/2006/relationships" ref="B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대시보드 · 윤성현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통합 현황</t>
        </is>
      </c>
      <c r="B5" s="21">
        <f>COUNTA('통합 현황'!$A$4:$A$7)</f>
        <v>4</v>
      </c>
      <c r="C5" s="21">
        <f>COUNTIF('통합 현황'!$G$4:$G$7,"성공")</f>
        <v>0</v>
      </c>
      <c r="D5" s="21">
        <f>COUNTIF('통합 현황'!$G$4:$G$7,"실패")</f>
        <v>0</v>
      </c>
      <c r="E5" s="21">
        <f>COUNTIF('통합 현황'!$G$4:$G$7,"오류")</f>
        <v>0</v>
      </c>
      <c r="F5" s="21">
        <f>COUNTIF('통합 현황'!$G$4:$G$7,"보류")</f>
        <v>0</v>
      </c>
      <c r="G5" s="21">
        <f>COUNTIF('통합 현황'!$G$4:$G$7,"확인 불가")</f>
        <v>0</v>
      </c>
      <c r="H5" s="21">
        <f>COUNTIF('통합 현황'!$G$4:$G$7,"문의")</f>
        <v>0</v>
      </c>
      <c r="I5" s="21">
        <f>COUNTBLANK('통합 현황'!$G$4:$G$7)</f>
        <v>4</v>
      </c>
      <c r="J5" s="22">
        <f>IF(B5=0,0,(B5-I5)/B5)</f>
        <v>0</v>
      </c>
    </row>
    <row r="6" ht="22" customHeight="1">
      <c r="A6" s="20" t="inlineStr">
        <is>
          <t>내 할일</t>
        </is>
      </c>
      <c r="B6" s="21">
        <f>COUNTA('내 할일'!$A$4:$A$10)</f>
        <v>7</v>
      </c>
      <c r="C6" s="21">
        <f>COUNTIF('내 할일'!$G$4:$G$10,"성공")</f>
        <v>0</v>
      </c>
      <c r="D6" s="21">
        <f>COUNTIF('내 할일'!$G$4:$G$10,"실패")</f>
        <v>0</v>
      </c>
      <c r="E6" s="21">
        <f>COUNTIF('내 할일'!$G$4:$G$10,"오류")</f>
        <v>0</v>
      </c>
      <c r="F6" s="21">
        <f>COUNTIF('내 할일'!$G$4:$G$10,"보류")</f>
        <v>0</v>
      </c>
      <c r="G6" s="21">
        <f>COUNTIF('내 할일'!$G$4:$G$10,"확인 불가")</f>
        <v>0</v>
      </c>
      <c r="H6" s="21">
        <f>COUNTIF('내 할일'!$G$4:$G$10,"문의")</f>
        <v>0</v>
      </c>
      <c r="I6" s="21">
        <f>COUNTBLANK('내 할일'!$G$4:$G$10)</f>
        <v>7</v>
      </c>
      <c r="J6" s="22">
        <f>IF(B6=0,0,(B6-I6)/B6)</f>
        <v>0</v>
      </c>
    </row>
    <row r="7" ht="24" customHeight="1">
      <c r="A7" s="23" t="inlineStr">
        <is>
          <t>합계</t>
        </is>
      </c>
      <c r="B7" s="24">
        <f>SUM(B5:B6)</f>
        <v>11</v>
      </c>
      <c r="C7" s="24">
        <f>SUM(C5:C6)</f>
        <v>0</v>
      </c>
      <c r="D7" s="24">
        <f>SUM(D5:D6)</f>
        <v>0</v>
      </c>
      <c r="E7" s="24">
        <f>SUM(E5:E6)</f>
        <v>0</v>
      </c>
      <c r="F7" s="24">
        <f>SUM(F5:F6)</f>
        <v>0</v>
      </c>
      <c r="G7" s="24">
        <f>SUM(G5:G6)</f>
        <v>0</v>
      </c>
      <c r="H7" s="24">
        <f>SUM(H5:H6)</f>
        <v>0</v>
      </c>
      <c r="I7" s="24">
        <f>SUM(I5:I6)</f>
        <v>11</v>
      </c>
      <c r="J7" s="25">
        <f>IF(B7=0,0,(B7-I7)/B7)</f>
        <v>0</v>
      </c>
    </row>
  </sheetData>
  <mergeCells count="2">
    <mergeCell ref="A1:J1"/>
    <mergeCell ref="A2:J2"/>
  </mergeCells>
  <conditionalFormatting sqref="J5:J7">
    <cfRule type="dataBar" priority="1">
      <dataBar showValue="1">
        <cfvo type="num" val="0"/>
        <cfvo type="num" val="1"/>
        <color rgb="0063BE7B"/>
      </dataBar>
    </cfRule>
  </conditionalFormatting>
  <conditionalFormatting sqref="D5:D7">
    <cfRule type="cellIs" priority="2" operator="greaterThan" dxfId="0">
      <formula>0</formula>
    </cfRule>
  </conditionalFormatting>
  <conditionalFormatting sqref="E5:E7">
    <cfRule type="cellIs" priority="3" operator="greaterThan" dxfId="0">
      <formula>0</formula>
    </cfRule>
  </conditionalFormatting>
  <conditionalFormatting sqref="H5:H7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7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대시보드 — 통합 현황</t>
        </is>
      </c>
    </row>
    <row r="2" ht="24" customHeight="1">
      <c r="A2" s="26" t="inlineStr">
        <is>
          <t>🗂 QA박안전1 창과 QA하정수1 창을 나란히 두고 봅니다. 위 숫자 칸은 각 계정 부서의 개선조치만 셉니다.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66" customHeight="1">
      <c r="A4" s="28" t="n">
        <v>1</v>
      </c>
      <c r="B4" s="3" t="inlineStr">
        <is>
          <t>QA박안전1(재난안전과) → QA하정수1(담당 공무원)</t>
        </is>
      </c>
      <c r="C4" s="3" t="inlineStr">
        <is>
          <t>대시보드 &gt; 통합 현황</t>
        </is>
      </c>
      <c r="D4" s="17" t="inlineStr">
        <is>
          <t>계정마다 내 부서 숫자가 보인다</t>
        </is>
      </c>
      <c r="E4" s="3" t="inlineStr">
        <is>
          <t>두 창에서 통합 현황을 연다</t>
        </is>
      </c>
      <c r="F4" s="3" t="inlineStr">
        <is>
          <t>두 창 모두 오류 없이 뜬다. 위 숫자 칸 제목이 QA박안전1 창은 «재난안전과 — 내 부서 개선조치», QA하정수1 창은 «물순환사업소 — 내 부서 개선조치»다</t>
        </is>
      </c>
      <c r="G4" s="29" t="n"/>
      <c r="H4" s="7" t="n"/>
      <c r="I4" s="7" t="n"/>
    </row>
    <row r="5" ht="96" customHeight="1">
      <c r="A5" s="28" t="n">
        <v>2</v>
      </c>
      <c r="B5" s="3" t="inlineStr">
        <is>
          <t>QA하정수1(담당 공무원)</t>
        </is>
      </c>
      <c r="C5" s="30" t="inlineStr">
        <is>
          <t>대시보드 &gt; 통합 현황</t>
        </is>
      </c>
      <c r="D5" s="17" t="inlineStr">
        <is>
          <t>숫자 칸을 누르면 그 조건의 내 할일로 간다</t>
        </is>
      </c>
      <c r="E5" s="3" t="inlineStr">
        <is>
          <t>① «기한 초과» 칸을 누른다
② 뒤로 와서 «오늘 마감» 칸을 누른다</t>
        </is>
      </c>
      <c r="F5" s="3" t="inlineStr">
        <is>
          <t>내 할일이 그 조건(개선·기한 초과 또는 오늘 마감)으로 걸린 채 열리고, 칸 숫자만큼의 개선조치 카드가 목록에 있다. 목록 건수가 칸 숫자보다 많으면(반려된 개선조치나 발행 업무가 섞일 수 있다) 두 숫자와 더 많은 카드를 메모에 적는다</t>
        </is>
      </c>
      <c r="G5" s="29" t="n"/>
      <c r="H5" s="7" t="n"/>
      <c r="I5" s="7" t="n"/>
    </row>
    <row r="6" ht="66" customHeight="1">
      <c r="A6" s="28" t="n">
        <v>3</v>
      </c>
      <c r="B6" s="3" t="inlineStr">
        <is>
          <t>QA박안전1(재난안전과)</t>
        </is>
      </c>
      <c r="C6" s="30" t="inlineStr">
        <is>
          <t>대시보드 &gt; 통합 현황</t>
        </is>
      </c>
      <c r="D6" s="17" t="inlineStr">
        <is>
          <t>시기도래 알림 — 목록·달력</t>
        </is>
      </c>
      <c r="E6" s="3" t="inlineStr">
        <is>
          <t>① «시기도래 알림»의 [달력 보기]
② [목록]으로 돌아와 한 줄의 [이동]</t>
        </is>
      </c>
      <c r="F6" s="3" t="inlineStr">
        <is>
          <t>달력에는 이번 달 마감일에 빨간 점이 찍힌다(이번 달 마감이 없으면 «이번 달 마감 없음 — 위 목록에서 확인하세요»). [이동]을 누르면 그 업무 화면으로 간다</t>
        </is>
      </c>
      <c r="G6" s="29" t="n"/>
      <c r="H6" s="7" t="n"/>
      <c r="I6" s="7" t="n"/>
    </row>
    <row r="7" ht="51" customHeight="1">
      <c r="A7" s="28" t="n">
        <v>4</v>
      </c>
      <c r="B7" s="30" t="inlineStr">
        <is>
          <t>QA박안전1(재난안전과)</t>
        </is>
      </c>
      <c r="C7" s="30" t="inlineStr">
        <is>
          <t>대시보드 &gt; 통합 현황</t>
        </is>
      </c>
      <c r="D7" s="17" t="inlineStr">
        <is>
          <t>눌러도 아무 일 없는 줄이 없다</t>
        </is>
      </c>
      <c r="E7" s="3" t="inlineStr">
        <is>
          <t>«법정 의무 캘린더»의 줄과 «카테고리별 잔여 업무»의 막대를 2~3개씩 눌러 본다(하나 누르고 뒤로)</t>
        </is>
      </c>
      <c r="F7" s="3" t="inlineStr">
        <is>
          <t>누를 때마다 그 업무 화면이나 그 분류로 걸린 내 할일로 간다</t>
        </is>
      </c>
      <c r="G7" s="29" t="n"/>
      <c r="H7" s="7" t="n"/>
      <c r="I7" s="7" t="n"/>
    </row>
  </sheetData>
  <autoFilter ref="A3:I7"/>
  <mergeCells count="2">
    <mergeCell ref="A1:I1"/>
    <mergeCell ref="A2:I2"/>
  </mergeCells>
  <conditionalFormatting sqref="G4:G7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7">
    <cfRule type="expression" priority="7" dxfId="7">
      <formula>AND(OR($G4="실패",$G4="오류",$G4="문의"),$H4="")</formula>
    </cfRule>
  </conditionalFormatting>
  <dataValidations count="1">
    <dataValidation sqref="G4:G7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0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대시보드 — 내 할일</t>
        </is>
      </c>
    </row>
    <row r="2" ht="24" customHeight="1">
      <c r="A2" s="26" t="inlineStr">
        <is>
          <t>🗂 주로 QA박안전1 창에서 합니다. 8번은 QA하정수1 창에서 내 부서 할 일로 합니다 — 재난안전과 할 일은 6명이 함께 보므로 완료 처리하지 않습니다.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66" customHeight="1">
      <c r="A4" s="28" t="n">
        <v>5</v>
      </c>
      <c r="B4" s="3" t="inlineStr">
        <is>
          <t>QA박안전1(재난안전과)</t>
        </is>
      </c>
      <c r="C4" s="3" t="inlineStr">
        <is>
          <t>대시보드 &gt; 내 할일</t>
        </is>
      </c>
      <c r="D4" s="17" t="inlineStr">
        <is>
          <t>탭 숫자와 목록 건수</t>
        </is>
      </c>
      <c r="E4" s="3" t="inlineStr">
        <is>
          <t>[마감 할일] · [담당 문서] · [완료한 업무]를 차례로 누른다</t>
        </is>
      </c>
      <c r="F4" s="3" t="inlineStr">
        <is>
          <t>탭 숫자와 그 탭 목록의 건수(마감 할일 «N건», 담당 문서 «전체 N», 완료한 업무 «N건 완료»)가 같다. 완료한 업무가 0건이면 «아직 완료한 업무가 없습니다.»가 나온다</t>
        </is>
      </c>
      <c r="G4" s="29" t="n"/>
      <c r="H4" s="7" t="n"/>
      <c r="I4" s="7" t="n"/>
    </row>
    <row r="5" ht="51" customHeight="1">
      <c r="A5" s="28" t="n">
        <v>6</v>
      </c>
      <c r="B5" s="30" t="inlineStr">
        <is>
          <t>QA박안전1(재난안전과)</t>
        </is>
      </c>
      <c r="C5" s="30" t="inlineStr">
        <is>
          <t>대시보드 &gt; 내 할일</t>
        </is>
      </c>
      <c r="D5" s="17" t="inlineStr">
        <is>
          <t>위 칩으로 거르기</t>
        </is>
      </c>
      <c r="E5" s="3" t="inlineStr">
        <is>
          <t>[마감 할일]에서 위 칩(배정 대기 · 지연 · 이번주 · 전체)을 하나씩 누른다</t>
        </is>
      </c>
      <c r="F5" s="3" t="inlineStr">
        <is>
          <t>칩을 누르면 그 조건으로 걸리고 [전체]를 누르면 풀린다(칩 [전체]의 숫자는 완료한 것까지 세므로 탭 숫자와 달라도 된다)</t>
        </is>
      </c>
      <c r="G5" s="29" t="n"/>
      <c r="H5" s="7" t="n"/>
      <c r="I5" s="7" t="n"/>
    </row>
    <row r="6" ht="111" customHeight="1">
      <c r="A6" s="28" t="n">
        <v>7</v>
      </c>
      <c r="B6" s="3" t="inlineStr">
        <is>
          <t>QA박안전1(재난안전과) → QA하정수1(담당 공무원)</t>
        </is>
      </c>
      <c r="C6" s="30" t="inlineStr">
        <is>
          <t>대시보드 &gt; 내 할일</t>
        </is>
      </c>
      <c r="D6" s="17" t="inlineStr">
        <is>
          <t>다른 부서 보기는 재난안전과만</t>
        </is>
      </c>
      <c r="E6" s="3" t="inlineStr">
        <is>
          <t>① QA박안전1 창 [마감 할일] 탭에서 제목 줄 오른쪽 부서 칸으로 내 부서(물순환사업소)를 고른다
② QA하정수1 창에서 같은 화면을 본다
③ QA박안전1 창의 부서 칸을 재난안전과로 되돌린다</t>
        </is>
      </c>
      <c r="F6" s="3" t="inlineStr">
        <is>
          <t>QA박안전1 창은 제목이 «내 할일 — 물순환사업소»로 바뀌고 «조회 전용» 안내가 뜨며 [마감 할일] 카드에 완료 처리·파일 첨부 버튼이 없다(보기 버튼만). QA하정수1 창에는 부서 칸이 없고 제목이 «내 할일 — 물순환사업소»다. 되돌리면 제목이 «내 할일 — 재난안전과»로 돌아온다</t>
        </is>
      </c>
      <c r="G6" s="29" t="n"/>
      <c r="H6" s="7" t="n"/>
      <c r="I6" s="7" t="n"/>
    </row>
    <row r="7" ht="111" customHeight="1">
      <c r="A7" s="28" t="n">
        <v>8</v>
      </c>
      <c r="B7" s="3" t="inlineStr">
        <is>
          <t>QA하정수1(담당 공무원)</t>
        </is>
      </c>
      <c r="C7" s="30" t="inlineStr">
        <is>
          <t>대시보드 &gt; 내 할일</t>
        </is>
      </c>
      <c r="D7" s="17" t="inlineStr">
        <is>
          <t>파일을 올려 끝내는 할 일</t>
        </is>
      </c>
      <c r="E7" s="3" t="inlineStr">
        <is>
          <t>① [마감 할일]에서 [파일 첨부] 버튼이 있는 내 부서 할 일을 고른다 — 없으면 «우리 부서에 도착 · 담당자 미정» 묶음에서 설명에 «… 필요»가 붙은 할 일의 [내가 맡기]를 먼저 누른다
② [파일 첨부]를 누르고 파일을 고르기 전에 [첨부 완료]를 본다
③ 파일을 골라 [첨부 완료]</t>
        </is>
      </c>
      <c r="F7" s="3" t="inlineStr">
        <is>
          <t>파일을 고르기 전에는 [첨부 완료]가 눌리지 않는다. 첨부하면 완료 안내가 뜨고 그 할 일이 [완료한 업무]로 옮겨 간다. [파일 첨부] 할 일이 없으면 «확인 불가»</t>
        </is>
      </c>
      <c r="G7" s="29" t="n"/>
      <c r="H7" s="7" t="n"/>
      <c r="I7" s="7" t="n"/>
    </row>
    <row r="8" ht="51" customHeight="1">
      <c r="A8" s="28" t="n">
        <v>9</v>
      </c>
      <c r="B8" s="3" t="inlineStr">
        <is>
          <t>QA박안전1(재난안전과)</t>
        </is>
      </c>
      <c r="C8" s="30" t="inlineStr">
        <is>
          <t>대시보드 &gt; 내 할일</t>
        </is>
      </c>
      <c r="D8" s="17" t="inlineStr">
        <is>
          <t>다른 화면으로 가는 할 일</t>
        </is>
      </c>
      <c r="E8" s="3" t="inlineStr">
        <is>
          <t>① «…에서 진행» 표시가 붙은 카드 2~3개의 버튼을 누른다(하나 누르고 뒤로)
② 분류가 «결재»인 카드의 버튼 이름을 본다</t>
        </is>
      </c>
      <c r="F8" s="3" t="inlineStr">
        <is>
          <t>카드에 적힌 화면으로 간다. 결재 카드의 버튼은 «결재하러 가기»가 아니다. 그런 카드가 없으면 «확인 불가»</t>
        </is>
      </c>
      <c r="G8" s="29" t="n"/>
      <c r="H8" s="7" t="n"/>
      <c r="I8" s="7" t="n"/>
    </row>
    <row r="9" ht="66" customHeight="1">
      <c r="A9" s="28" t="n">
        <v>10</v>
      </c>
      <c r="B9" s="3" t="inlineStr">
        <is>
          <t>QA박안전1(재난안전과) → QA하정수1(담당 공무원)</t>
        </is>
      </c>
      <c r="C9" s="30" t="inlineStr">
        <is>
          <t>대시보드 &gt; 내 할일</t>
        </is>
      </c>
      <c r="D9" s="17" t="inlineStr">
        <is>
          <t>미분류 문서 카드는 재난안전과에만</t>
        </is>
      </c>
      <c r="E9" s="3" t="inlineStr">
        <is>
          <t>① QA박안전1 창에서 «문서 원장 미분류 N건 분류 확인» 카드의 [분류하러 가기]
② QA하정수1 창의 내 할일에 같은 카드가 있는지 본다</t>
        </is>
      </c>
      <c r="F9" s="3" t="inlineStr">
        <is>
          <t>문서 목록이 미분류 조건으로 열리고 건수가 카드의 N과 같다(미분류가 0건이면 [완료한 업무]에 «문서 원장 미분류 없음 — 분류 완료»로 있다). QA하정수1 창에는 이 카드가 없다</t>
        </is>
      </c>
      <c r="G9" s="29" t="n"/>
      <c r="H9" s="7" t="n"/>
      <c r="I9" s="7" t="n"/>
    </row>
    <row r="10" ht="36" customHeight="1">
      <c r="A10" s="28" t="n">
        <v>11</v>
      </c>
      <c r="B10" s="3" t="inlineStr">
        <is>
          <t>QA박안전1(재난안전과)</t>
        </is>
      </c>
      <c r="C10" s="30" t="inlineStr">
        <is>
          <t>대시보드 &gt; 내 할일</t>
        </is>
      </c>
      <c r="D10" s="17" t="inlineStr">
        <is>
          <t>새로고침 버튼</t>
        </is>
      </c>
      <c r="E10" s="3" t="inlineStr">
        <is>
          <t>제목 줄의 [동기화]</t>
        </is>
      </c>
      <c r="F10" s="3" t="inlineStr">
        <is>
          <t>«내 할일 목록을 새로고침했습니다.»가 뜨고 «동기화» 옆 시각이 지금 시각으로 바뀐다</t>
        </is>
      </c>
      <c r="G10" s="29" t="n"/>
      <c r="H10" s="7" t="n"/>
      <c r="I10" s="7" t="n"/>
    </row>
  </sheetData>
  <autoFilter ref="A3:I10"/>
  <mergeCells count="2">
    <mergeCell ref="A1:I1"/>
    <mergeCell ref="A2:I2"/>
  </mergeCells>
  <conditionalFormatting sqref="G4:G10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0">
    <cfRule type="expression" priority="7" dxfId="7">
      <formula>AND(OR($G4="실패",$G4="오류",$G4="문의"),$H4="")</formula>
    </cfRule>
  </conditionalFormatting>
  <dataValidations count="1">
    <dataValidation sqref="G4:G10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대시보드</t>
        </is>
      </c>
    </row>
    <row r="3">
      <c r="A3" t="inlineStr">
        <is>
          <t>담당자</t>
        </is>
      </c>
      <c r="B3" t="inlineStr">
        <is>
          <t>윤성현</t>
        </is>
      </c>
    </row>
    <row r="4">
      <c r="A4" t="inlineStr">
        <is>
          <t>파일 코드</t>
        </is>
      </c>
      <c r="B4" t="inlineStr">
        <is>
          <t>DB</t>
        </is>
      </c>
    </row>
    <row r="5">
      <c r="A5" t="inlineStr">
        <is>
          <t>종류</t>
        </is>
      </c>
      <c r="B5" t="inlineStr">
        <is>
          <t>스모크</t>
        </is>
      </c>
    </row>
    <row r="6">
      <c r="A6" t="inlineStr">
        <is>
          <t>생성일</t>
        </is>
      </c>
      <c r="B6" t="inlineStr">
        <is>
          <t>2026-09-30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2026-09-30T00:30:17Z</dcterms:created>
  <dcterms:modified xmlns:dcterms="http://purl.org/dc/terms/" xmlns:xsi="http://www.w3.org/2001/XMLSchema-instance" xsi:type="dcterms:W3CDTF">2026-09-30T00:30:17Z</dcterms:modified>
</cp:coreProperties>
</file>