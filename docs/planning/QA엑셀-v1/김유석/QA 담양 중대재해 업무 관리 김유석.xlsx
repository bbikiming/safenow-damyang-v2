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이행 관리" sheetId="3" state="visible" r:id="rId3"/>
    <sheet xmlns:r="http://schemas.openxmlformats.org/officeDocument/2006/relationships" name="문서 목록" sheetId="4" state="visible" r:id="rId4"/>
    <sheet xmlns:r="http://schemas.openxmlformats.org/officeDocument/2006/relationships" name="_정보" sheetId="5" state="hidden" r:id="rId5"/>
  </sheets>
  <definedNames>
    <definedName name="_xlnm._FilterDatabase" localSheetId="2" hidden="1">'이행 관리'!$A$3:$I$9</definedName>
    <definedName name="_xlnm.Print_Titles" localSheetId="2">'이행 관리'!$3:$3</definedName>
    <definedName name="_xlnm._FilterDatabase" localSheetId="3" hidden="1">'문서 목록'!$A$3:$I$9</definedName>
    <definedName name="_xlnm.Print_Titles" localSheetId="3">'문서 목록'!$3:$3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업무 관리 · 김유석</t>
        </is>
      </c>
    </row>
    <row r="3" ht="22" customHeight="1">
      <c r="A3" s="2" t="inlineStr">
        <is>
          <t>메뉴</t>
        </is>
      </c>
      <c r="B3" s="3" t="inlineStr">
        <is>
          <t>업무 관리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김유석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QA박안전5 (재난안전과 담당자) · QA하정수5 (내 부서 보건소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이행 관리(할 일마다 서류가 있는지)와 문서 목록을 봅니다. 기준연도는 2025년이 기본이고, 서류를 올리고 확인·삭제하는 일은 내가 올린 «김유석_2025 점검 결과» 서류로만 합니다.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12줄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이행 관리 → 문서 목록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QA박안전5(재난안전과), 시크릿 창(Ctrl + Shift + N · 맥 Cmd + Shift + N)에는 QA하정수5(담당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QA박안전5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QA하정수5</t>
        </is>
      </c>
      <c r="B40" s="3" t="inlineStr">
        <is>
          <t>담당 공무원 (내 부서: 보건소)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«김유석_집합교육».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QA박안전5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업무 관리 · 김유석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이행 관리</t>
        </is>
      </c>
      <c r="B5" s="21">
        <f>COUNTA('이행 관리'!$A$4:$A$9)</f>
        <v>6</v>
      </c>
      <c r="C5" s="21">
        <f>COUNTIF('이행 관리'!$G$4:$G$9,"성공")</f>
        <v>0</v>
      </c>
      <c r="D5" s="21">
        <f>COUNTIF('이행 관리'!$G$4:$G$9,"실패")</f>
        <v>0</v>
      </c>
      <c r="E5" s="21">
        <f>COUNTIF('이행 관리'!$G$4:$G$9,"오류")</f>
        <v>0</v>
      </c>
      <c r="F5" s="21">
        <f>COUNTIF('이행 관리'!$G$4:$G$9,"보류")</f>
        <v>0</v>
      </c>
      <c r="G5" s="21">
        <f>COUNTIF('이행 관리'!$G$4:$G$9,"확인 불가")</f>
        <v>0</v>
      </c>
      <c r="H5" s="21">
        <f>COUNTIF('이행 관리'!$G$4:$G$9,"문의")</f>
        <v>0</v>
      </c>
      <c r="I5" s="21">
        <f>COUNTBLANK('이행 관리'!$G$4:$G$9)</f>
        <v>6</v>
      </c>
      <c r="J5" s="22">
        <f>IF(B5=0,0,(B5-I5)/B5)</f>
        <v>0</v>
      </c>
    </row>
    <row r="6" ht="22" customHeight="1">
      <c r="A6" s="20" t="inlineStr">
        <is>
          <t>문서 목록</t>
        </is>
      </c>
      <c r="B6" s="21">
        <f>COUNTA('문서 목록'!$A$4:$A$9)</f>
        <v>6</v>
      </c>
      <c r="C6" s="21">
        <f>COUNTIF('문서 목록'!$G$4:$G$9,"성공")</f>
        <v>0</v>
      </c>
      <c r="D6" s="21">
        <f>COUNTIF('문서 목록'!$G$4:$G$9,"실패")</f>
        <v>0</v>
      </c>
      <c r="E6" s="21">
        <f>COUNTIF('문서 목록'!$G$4:$G$9,"오류")</f>
        <v>0</v>
      </c>
      <c r="F6" s="21">
        <f>COUNTIF('문서 목록'!$G$4:$G$9,"보류")</f>
        <v>0</v>
      </c>
      <c r="G6" s="21">
        <f>COUNTIF('문서 목록'!$G$4:$G$9,"확인 불가")</f>
        <v>0</v>
      </c>
      <c r="H6" s="21">
        <f>COUNTIF('문서 목록'!$G$4:$G$9,"문의")</f>
        <v>0</v>
      </c>
      <c r="I6" s="21">
        <f>COUNTBLANK('문서 목록'!$G$4:$G$9)</f>
        <v>6</v>
      </c>
      <c r="J6" s="22">
        <f>IF(B6=0,0,(B6-I6)/B6)</f>
        <v>0</v>
      </c>
    </row>
    <row r="7" ht="24" customHeight="1">
      <c r="A7" s="23" t="inlineStr">
        <is>
          <t>합계</t>
        </is>
      </c>
      <c r="B7" s="24">
        <f>SUM(B5:B6)</f>
        <v>12</v>
      </c>
      <c r="C7" s="24">
        <f>SUM(C5:C6)</f>
        <v>0</v>
      </c>
      <c r="D7" s="24">
        <f>SUM(D5:D6)</f>
        <v>0</v>
      </c>
      <c r="E7" s="24">
        <f>SUM(E5:E6)</f>
        <v>0</v>
      </c>
      <c r="F7" s="24">
        <f>SUM(F5:F6)</f>
        <v>0</v>
      </c>
      <c r="G7" s="24">
        <f>SUM(G5:G6)</f>
        <v>0</v>
      </c>
      <c r="H7" s="24">
        <f>SUM(H5:H6)</f>
        <v>0</v>
      </c>
      <c r="I7" s="24">
        <f>SUM(I5:I6)</f>
        <v>12</v>
      </c>
      <c r="J7" s="25">
        <f>IF(B7=0,0,(B7-I7)/B7)</f>
        <v>0</v>
      </c>
    </row>
  </sheetData>
  <mergeCells count="2">
    <mergeCell ref="A1:J1"/>
    <mergeCell ref="A2:J2"/>
  </mergeCells>
  <conditionalFormatting sqref="J5:J7">
    <cfRule type="dataBar" priority="1">
      <dataBar showValue="1">
        <cfvo type="num" val="0"/>
        <cfvo type="num" val="1"/>
        <color rgb="0063BE7B"/>
      </dataBar>
    </cfRule>
  </conditionalFormatting>
  <conditionalFormatting sqref="D5:D7">
    <cfRule type="cellIs" priority="2" operator="greaterThan" dxfId="0">
      <formula>0</formula>
    </cfRule>
  </conditionalFormatting>
  <conditionalFormatting sqref="E5:E7">
    <cfRule type="cellIs" priority="3" operator="greaterThan" dxfId="0">
      <formula>0</formula>
    </cfRule>
  </conditionalFormatting>
  <conditionalFormatting sqref="H5:H7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업무 관리 — 이행 관리</t>
        </is>
      </c>
    </row>
    <row r="2" ht="24" customHeight="1">
      <c r="A2" s="26" t="inlineStr">
        <is>
          <t>🗂 주로 QA박안전5 창에서 합니다. 4번에서 올린 내 서류로 5·6번을 이어서 하고, 다른 사람이 올린 서류는 확인·반려하지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96" customHeight="1">
      <c r="A4" s="28" t="n">
        <v>1</v>
      </c>
      <c r="B4" s="3" t="inlineStr">
        <is>
          <t>QA박안전5(재난안전과)</t>
        </is>
      </c>
      <c r="C4" s="3" t="inlineStr">
        <is>
          <t>업무 관리 &gt; 이행 관리</t>
        </is>
      </c>
      <c r="D4" s="17" t="inlineStr">
        <is>
          <t>첫 화면과 단위 바꾸기</t>
        </is>
      </c>
      <c r="E4" s="3" t="inlineStr">
        <is>
          <t>① 메뉴로 들어가 기준연도를 본다
② 군 단위 · 부서 단위 · 관리대상 단위 탭을 차례로 누른다
③ [누락 점검] 탭을 누른다</t>
        </is>
      </c>
      <c r="F4" s="3" t="inlineStr">
        <is>
          <t>왼쪽 메뉴 이름이 «이행 관리»다(«법정 업무 현황»이면 «실패» — 2026-09-28 «이행 관리»로 확정). 기준연도가 2025다. 탭마다 표가 바뀐다. 군 단위·누락 점검 탭의 숫자와 목록 위 «…개» 숫자가 같다(다르면 새로고침 뒤 다시 본다)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QA박안전5(재난안전과)</t>
        </is>
      </c>
      <c r="C5" s="30" t="inlineStr">
        <is>
          <t>업무 관리 &gt; 이행 관리</t>
        </is>
      </c>
      <c r="D5" s="17" t="inlineStr">
        <is>
          <t>상태 칩과 엑셀 내려받기</t>
        </is>
      </c>
      <c r="E5" s="3" t="inlineStr">
        <is>
          <t>① 군 단위에서 숫자가 0이 아닌 상태 칩(예: 미이행)을 누른다
② [엑셀 내려받기]</t>
        </is>
      </c>
      <c r="F5" s="3" t="inlineStr">
        <is>
          <t>칩의 숫자와 목록 위 «…개 할 일»이 같다. «…csv 내려받기 (…행)» 알림의 행 수도 같은 숫자다</t>
        </is>
      </c>
      <c r="G5" s="29" t="n"/>
      <c r="H5" s="7" t="n"/>
      <c r="I5" s="7" t="n"/>
    </row>
    <row r="6" ht="81" customHeight="1">
      <c r="A6" s="28" t="n">
        <v>3</v>
      </c>
      <c r="B6" s="30" t="inlineStr">
        <is>
          <t>QA박안전5(재난안전과)</t>
        </is>
      </c>
      <c r="C6" s="30" t="inlineStr">
        <is>
          <t>업무 관리 &gt; 이행 관리</t>
        </is>
      </c>
      <c r="D6" s="17" t="inlineStr">
        <is>
          <t>할 일 상세와 쪽 넘기기</t>
        </is>
      </c>
      <c r="E6" s="3" t="inlineStr">
        <is>
          <t>① 서류가 10건 넘는 할 일 줄을 누른다
② 아래 문서 목록에서 [›]로 다음 쪽
③ 쪽 번호 칸에 마지막 쪽보다 큰 수를 치고 Enter
④ [‹ 단계별 이행현황으로]</t>
        </is>
      </c>
      <c r="F6" s="3" t="inlineStr">
        <is>
          <t>상세가 열리고 쪽이 넘어간다. 너무 큰 쪽 번호는 마지막 쪽으로 가고 빈 화면이 되지 않는다. 돌아가면 보던 목록이 나온다</t>
        </is>
      </c>
      <c r="G6" s="29" t="n"/>
      <c r="H6" s="7" t="n"/>
      <c r="I6" s="7" t="n"/>
    </row>
    <row r="7" ht="216" customHeight="1">
      <c r="A7" s="28" t="n">
        <v>4</v>
      </c>
      <c r="B7" s="30" t="inlineStr">
        <is>
          <t>QA박안전5(재난안전과)</t>
        </is>
      </c>
      <c r="C7" s="30" t="inlineStr">
        <is>
          <t>업무 관리 &gt; 이행 관리</t>
        </is>
      </c>
      <c r="D7" s="17" t="inlineStr">
        <is>
          <t>서류 올리기</t>
        </is>
      </c>
      <c r="E7" s="3" t="inlineStr">
        <is>
          <t>① [누락 점검] 탭에서 서류가 0건인 할 일 하나를 고른다 — 목록 맨 위 말고 중간쯤을 골라 다른 사람과 겹치지 않게 하고 이름을 적어 둔다
② 기준연도 2025 그대로 [＋ 서류 올리기] → 빈 채로 [다음 — 무슨 일인지 고르기 →]
③ 파일 1개, 문서명 «김유석_2025 점검 결과», 보고일자(2025년 안), «내부 문서», 담당부서·담당자(조직도에서 재난안전과 한 사람)를 채우고 다음
④ 할 일을 고르지 않고 [다음 — 확인 →]
⑤ ①의 할 일을 검색해 고르고 [이대로 등록]
⑥ 결과 창은 [닫기] (되돌리기는 누르지 않는다 — 이 서류를 아래 줄에서 쓴다)</t>
        </is>
      </c>
      <c r="F7" s="3" t="inlineStr">
        <is>
          <t>빈 칸마다 빨간 안내와 «…확인해 주세요.»가 뜬다. 할 일 없이는 «이 문서가 증빙하는 업무단계를 하나 이상 선택해야 합니다.» 등록하면 결과 창에 만든 문서 링크와 [방금 만든 1건 되돌리기]가 있다</t>
        </is>
      </c>
      <c r="G7" s="29" t="n"/>
      <c r="H7" s="7" t="n"/>
      <c r="I7" s="7" t="n"/>
    </row>
    <row r="8" ht="156" customHeight="1">
      <c r="A8" s="28" t="n">
        <v>5</v>
      </c>
      <c r="B8" s="30" t="inlineStr">
        <is>
          <t>QA박안전5(재난안전과)</t>
        </is>
      </c>
      <c r="C8" s="30" t="inlineStr">
        <is>
          <t>업무 관리 &gt; 이행 관리</t>
        </is>
      </c>
      <c r="D8" s="17" t="inlineStr">
        <is>
          <t>서류 확인 — 반려·완료·되돌리기</t>
        </is>
      </c>
      <c r="E8" s="3" t="inlineStr">
        <is>
          <t>① 문서 목록 검색창에 «김유석_2025» → 4번 문서를 열고 위의 할 일 이름을 누른다. 할 일 상세의 문서 목록에 내 서류 한 건만 있을 때만 이어서 한다(다른 사람 서류도 있으면 «확인 불가»)
② [확인하기] → [확인 반려] → 사유 없이 [확인 반려]
③ 사유를 적고 [확인 반려]
④ [확인하기] → [완료 처리]
⑤ [확인 되돌리기] → [완료 되돌리기]</t>
        </is>
      </c>
      <c r="F8" s="3" t="inlineStr">
        <is>
          <t>사유 없이는 «반려 사유를 입력해야 저장됩니다.» 반려하면 상세에 «확인 반려 — (적은 사유)»가 보인다. 완료 처리하면 «완료 확인됨»과 확인한 사람(QA박안전5 계정)이 보이고, 되돌리면 다시 [확인하기]가 나오며 상태가 처음(진행중)으로 돌아간다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QA하정수5(담당 공무원)</t>
        </is>
      </c>
      <c r="C9" s="30" t="inlineStr">
        <is>
          <t>업무 관리 &gt; 이행 관리</t>
        </is>
      </c>
      <c r="D9" s="17" t="inlineStr">
        <is>
          <t>담당 공무원은 확인·비해당을 못 한다</t>
        </is>
      </c>
      <c r="E9" s="3" t="inlineStr">
        <is>
          <t>① QA하정수5 창에서 메뉴로 들어가 첫 화면을 본다
② QA박안전5 창에 열려 있는 5번 할 일 상세의 주소(끝에 «stage=…»가 붙어 있다)를 복사해 QA하정수5 창 주소창에 붙여 넣고 Enter</t>
        </is>
      </c>
      <c r="F9" s="3" t="inlineStr">
        <is>
          <t>첫 화면은 «부서 단위»에 내 부서(보건소) 조건이 걸려 내 부서 줄만 보인다. 할 일 상세에는 [확인하기]·[확인 반려]·[비해당 — 사유 기재]가 없다([＋ 서류 올리기]는 있다)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업무 관리 — 문서 목록</t>
        </is>
      </c>
    </row>
    <row r="2" ht="24" customHeight="1">
      <c r="A2" s="26" t="inlineStr">
        <is>
          <t>🗂 주로 QA박안전5 창에서 합니다. 미분류 문서는 실제 원장 문서라 분류를 저장하지 않고, 11번에서 내가 만든 서류를 지워 처음 상태로 돌려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7</v>
      </c>
      <c r="B4" s="3" t="inlineStr">
        <is>
          <t>QA박안전5(재난안전과)</t>
        </is>
      </c>
      <c r="C4" s="3" t="inlineStr">
        <is>
          <t>업무 관리 &gt; 문서 목록</t>
        </is>
      </c>
      <c r="D4" s="17" t="inlineStr">
        <is>
          <t>조건 걸기</t>
        </is>
      </c>
      <c r="E4" s="3" t="inlineStr">
        <is>
          <t>① 연도 칩 하나를 누르고 검색창에 낱말을 친다
② [업무단계 고르기]에서 할 일 2개 → [적용]
③ 새로고침
④ [필터 초기화]</t>
        </is>
      </c>
      <c r="F4" s="3" t="inlineStr">
        <is>
          <t>조건대로 목록이 줄고, 새로고침 뒤에도 연도·검색어·할 일 2개가 남는다. 초기화하면 풀리고 연도는 기본(2025)으로 돌아간다</t>
        </is>
      </c>
      <c r="G4" s="29" t="n"/>
      <c r="H4" s="7" t="n"/>
      <c r="I4" s="7" t="n"/>
    </row>
    <row r="5" ht="66" customHeight="1">
      <c r="A5" s="28" t="n">
        <v>8</v>
      </c>
      <c r="B5" s="30" t="inlineStr">
        <is>
          <t>QA박안전5(재난안전과)</t>
        </is>
      </c>
      <c r="C5" s="30" t="inlineStr">
        <is>
          <t>업무 관리 &gt; 문서 목록</t>
        </is>
      </c>
      <c r="D5" s="17" t="inlineStr">
        <is>
          <t>문서 상세</t>
        </is>
      </c>
      <c r="E5" s="3" t="inlineStr">
        <is>
          <t>① 할 일이 붙은 2025 문서 하나를 연다
② 위의 할 일 이름을 누른다</t>
        </is>
      </c>
      <c r="F5" s="3" t="inlineStr">
        <is>
          <t>문서번호 · 수발신 · 담당부서 · 데이터 구분(«문서 원장 실측»)과 연결된 할 일이 보인다. 할 일을 누르면 이행 관리의 그 할 일 상세로 간다</t>
        </is>
      </c>
      <c r="G5" s="29" t="n"/>
      <c r="H5" s="7" t="n"/>
      <c r="I5" s="7" t="n"/>
    </row>
    <row r="6" ht="126" customHeight="1">
      <c r="A6" s="28" t="n">
        <v>9</v>
      </c>
      <c r="B6" s="3" t="inlineStr">
        <is>
          <t>QA박안전5(재난안전과) → QA하정수5(담당 공무원)</t>
        </is>
      </c>
      <c r="C6" s="30" t="inlineStr">
        <is>
          <t>업무 관리 &gt; 문서 목록</t>
        </is>
      </c>
      <c r="D6" s="17" t="inlineStr">
        <is>
          <t>미분류 문서 — 분류 붙이기</t>
        </is>
      </c>
      <c r="E6" s="3" t="inlineStr">
        <is>
          <t>① «미분류» 칩이 붙은 문서 하나를 열고 문서명을 적어 둔다
② [업무단계 지정] → 아무것도 고르지 않고 [저장] → [취소] (할 일을 골라 저장하지 않는다 — 실제 원장 문서라 되돌릴 수 없다)
③ QA하정수5 창의 문서 목록에서 ①의 문서명을 검색해 연다</t>
        </is>
      </c>
      <c r="F6" s="3" t="inlineStr">
        <is>
          <t>상세 오른쪽에 «분류 붙이기»와 [업무단계 지정]이 있다. 빈 저장은 «업무단계를 하나 이상 선택해야 저장됩니다.»로 막힌다. QA하정수5 계정에는 버튼 대신 «조회 전용 — 원장 교정은 주관부서(재난안전과) 담당자가 수행합니다.»가 보인다. 미분류 문서가 없으면 «확인 불가» (실제 분류 저장은 원장을 바꾸므로 이 시트에서 확인하지 않는다)</t>
        </is>
      </c>
      <c r="G6" s="29" t="n"/>
      <c r="H6" s="7" t="n"/>
      <c r="I6" s="7" t="n"/>
    </row>
    <row r="7" ht="81" customHeight="1">
      <c r="A7" s="28" t="n">
        <v>10</v>
      </c>
      <c r="B7" s="3" t="inlineStr">
        <is>
          <t>QA박안전5(재난안전과)</t>
        </is>
      </c>
      <c r="C7" s="30" t="inlineStr">
        <is>
          <t>업무 관리 &gt; 문서 목록</t>
        </is>
      </c>
      <c r="D7" s="17" t="inlineStr">
        <is>
          <t>올해로 이어받기</t>
        </is>
      </c>
      <c r="E7" s="3" t="inlineStr">
        <is>
          <t>① 검색창에 «김유석_2025» → 4번 문서를 연다
② [📄 올해 문서로 등록]
③ 새 문서의 «가져온 원본»을 눌러 원본으로 돌아간다
④ [만든 문서 보기]</t>
        </is>
      </c>
      <c r="F7" s="3" t="inlineStr">
        <is>
          <t>«…년 문서로 등록했습니다»가 뜨고 올해 문서 «김유석_(올해 연도) 점검 결과»가 생긴다. 원본에는 [📄 올해 문서로 등록] 대신 «이어받기 완료»와 [만든 문서 보기]가 있고, [만든 문서 보기]를 누르면 방금 만든 문서가 열린다</t>
        </is>
      </c>
      <c r="G7" s="29" t="n"/>
      <c r="H7" s="7" t="n"/>
      <c r="I7" s="7" t="n"/>
    </row>
    <row r="8" ht="126" customHeight="1">
      <c r="A8" s="28" t="n">
        <v>11</v>
      </c>
      <c r="B8" s="30" t="inlineStr">
        <is>
          <t>QA박안전5(재난안전과)</t>
        </is>
      </c>
      <c r="C8" s="30" t="inlineStr">
        <is>
          <t>업무 관리 &gt; 문서 목록</t>
        </is>
      </c>
      <c r="D8" s="17" t="inlineStr">
        <is>
          <t>내가 만든 서류 지우기</t>
        </is>
      </c>
      <c r="E8" s="3" t="inlineStr">
        <is>
          <t>① 연도 칩 «전체»에서 검색창에 김유석 → 10번에서 만든 올해 문서를 열고 [문서 삭제] → [삭제]
② 4번 문서(«김유석_2025 점검 결과»)도 같은 방법으로 지운다
③ 이행 관리 [누락 점검] 탭에서 4번의 할 일을 찾는다</t>
        </is>
      </c>
      <c r="F8" s="3" t="inlineStr">
        <is>
          <t>삭제 창이 회수될 할 일 연결을 먼저 알려 주고, 지우면 «문서를 삭제했습니다 — 할 일 연결 1건이 함께 회수되었습니다.» 두 문서가 목록에서 사라지고 4번의 할 일이 다시 누락 점검에 나온다(그 사이 다른 사람이 같은 할 일에 서류를 올렸으면 다시 나오지 않을 수 있다 — 그 경우 문서 목록에서 내 두 문서가 사라졌는지만 본다)</t>
        </is>
      </c>
      <c r="G8" s="29" t="n"/>
      <c r="H8" s="7" t="n"/>
      <c r="I8" s="7" t="n"/>
    </row>
    <row r="9" ht="36" customHeight="1">
      <c r="A9" s="28" t="n">
        <v>12</v>
      </c>
      <c r="B9" s="30" t="inlineStr">
        <is>
          <t>QA박안전5(재난안전과)</t>
        </is>
      </c>
      <c r="C9" s="3" t="inlineStr">
        <is>
          <t>업무 관리 왼쪽 메뉴</t>
        </is>
      </c>
      <c r="D9" s="17" t="inlineStr">
        <is>
          <t>메뉴 구성</t>
        </is>
      </c>
      <c r="E9" s="3" t="inlineStr">
        <is>
          <t>업무 관리의 왼쪽 메뉴를 본다</t>
        </is>
      </c>
      <c r="F9" s="3" t="inlineStr">
        <is>
          <t>이행 관리와 문서 목록 둘뿐이고 기준문서함은 없다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업무 관리</t>
        </is>
      </c>
    </row>
    <row r="3">
      <c r="A3" t="inlineStr">
        <is>
          <t>담당자</t>
        </is>
      </c>
      <c r="B3" t="inlineStr">
        <is>
          <t>김유석</t>
        </is>
      </c>
    </row>
    <row r="4">
      <c r="A4" t="inlineStr">
        <is>
          <t>파일 코드</t>
        </is>
      </c>
      <c r="B4" t="inlineStr">
        <is>
          <t>CP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