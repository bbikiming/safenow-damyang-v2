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이행 관리" sheetId="3" state="visible" r:id="rId3"/>
    <sheet xmlns:r="http://schemas.openxmlformats.org/officeDocument/2006/relationships" name="문서 목록" sheetId="4" state="visible" r:id="rId4"/>
    <sheet xmlns:r="http://schemas.openxmlformats.org/officeDocument/2006/relationships" name="_정보" sheetId="5" state="hidden" r:id="rId5"/>
  </sheets>
  <definedNames>
    <definedName name="_xlnm._FilterDatabase" localSheetId="2" hidden="1">'이행 관리'!$A$3:$I$9</definedName>
    <definedName name="_xlnm.Print_Titles" localSheetId="2">'이행 관리'!$3:$3</definedName>
    <definedName name="_xlnm._FilterDatabase" localSheetId="3" hidden="1">'문서 목록'!$A$3:$I$8</definedName>
    <definedName name="_xlnm.Print_Titles" localSheetId="3">'문서 목록'!$3:$3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업무 관리 · 김유석</t>
        </is>
      </c>
    </row>
    <row r="3" ht="22" customHeight="1">
      <c r="A3" s="2" t="inlineStr">
        <is>
          <t>메뉴</t>
        </is>
      </c>
      <c r="B3" s="3" t="inlineStr">
        <is>
          <t>업무 관리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김유석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이행 관리와 문서 목록을 봅니다. 2025년은 실제 문서, 2026년은 «예시 자료»입니다.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11줄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이행 관리 → 문서 목록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업무 관리 · 김유석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이행 관리</t>
        </is>
      </c>
      <c r="B5" s="21">
        <f>COUNTA('이행 관리'!$A$4:$A$9)</f>
        <v>6</v>
      </c>
      <c r="C5" s="21">
        <f>COUNTIF('이행 관리'!$G$4:$G$9,"성공")</f>
        <v>0</v>
      </c>
      <c r="D5" s="21">
        <f>COUNTIF('이행 관리'!$G$4:$G$9,"실패")</f>
        <v>0</v>
      </c>
      <c r="E5" s="21">
        <f>COUNTIF('이행 관리'!$G$4:$G$9,"오류")</f>
        <v>0</v>
      </c>
      <c r="F5" s="21">
        <f>COUNTIF('이행 관리'!$G$4:$G$9,"보류")</f>
        <v>0</v>
      </c>
      <c r="G5" s="21">
        <f>COUNTIF('이행 관리'!$G$4:$G$9,"확인 불가")</f>
        <v>0</v>
      </c>
      <c r="H5" s="21">
        <f>COUNTIF('이행 관리'!$G$4:$G$9,"문의")</f>
        <v>0</v>
      </c>
      <c r="I5" s="21">
        <f>COUNTBLANK('이행 관리'!$G$4:$G$9)</f>
        <v>6</v>
      </c>
      <c r="J5" s="22">
        <f>IF(B5=0,0,(B5-I5)/B5)</f>
        <v>0</v>
      </c>
    </row>
    <row r="6" ht="22" customHeight="1">
      <c r="A6" s="20" t="inlineStr">
        <is>
          <t>문서 목록</t>
        </is>
      </c>
      <c r="B6" s="21">
        <f>COUNTA('문서 목록'!$A$4:$A$8)</f>
        <v>5</v>
      </c>
      <c r="C6" s="21">
        <f>COUNTIF('문서 목록'!$G$4:$G$8,"성공")</f>
        <v>0</v>
      </c>
      <c r="D6" s="21">
        <f>COUNTIF('문서 목록'!$G$4:$G$8,"실패")</f>
        <v>0</v>
      </c>
      <c r="E6" s="21">
        <f>COUNTIF('문서 목록'!$G$4:$G$8,"오류")</f>
        <v>0</v>
      </c>
      <c r="F6" s="21">
        <f>COUNTIF('문서 목록'!$G$4:$G$8,"보류")</f>
        <v>0</v>
      </c>
      <c r="G6" s="21">
        <f>COUNTIF('문서 목록'!$G$4:$G$8,"확인 불가")</f>
        <v>0</v>
      </c>
      <c r="H6" s="21">
        <f>COUNTIF('문서 목록'!$G$4:$G$8,"문의")</f>
        <v>0</v>
      </c>
      <c r="I6" s="21">
        <f>COUNTBLANK('문서 목록'!$G$4:$G$8)</f>
        <v>5</v>
      </c>
      <c r="J6" s="22">
        <f>IF(B6=0,0,(B6-I6)/B6)</f>
        <v>0</v>
      </c>
    </row>
    <row r="7" ht="24" customHeight="1">
      <c r="A7" s="23" t="inlineStr">
        <is>
          <t>합계</t>
        </is>
      </c>
      <c r="B7" s="24">
        <f>SUM(B5:B6)</f>
        <v>11</v>
      </c>
      <c r="C7" s="24">
        <f>SUM(C5:C6)</f>
        <v>0</v>
      </c>
      <c r="D7" s="24">
        <f>SUM(D5:D6)</f>
        <v>0</v>
      </c>
      <c r="E7" s="24">
        <f>SUM(E5:E6)</f>
        <v>0</v>
      </c>
      <c r="F7" s="24">
        <f>SUM(F5:F6)</f>
        <v>0</v>
      </c>
      <c r="G7" s="24">
        <f>SUM(G5:G6)</f>
        <v>0</v>
      </c>
      <c r="H7" s="24">
        <f>SUM(H5:H6)</f>
        <v>0</v>
      </c>
      <c r="I7" s="24">
        <f>SUM(I5:I6)</f>
        <v>11</v>
      </c>
      <c r="J7" s="25">
        <f>IF(B7=0,0,(B7-I7)/B7)</f>
        <v>0</v>
      </c>
    </row>
  </sheetData>
  <mergeCells count="2">
    <mergeCell ref="A1:J1"/>
    <mergeCell ref="A2:J2"/>
  </mergeCells>
  <conditionalFormatting sqref="J5:J7">
    <cfRule type="dataBar" priority="1">
      <dataBar showValue="1">
        <cfvo type="num" val="0"/>
        <cfvo type="num" val="1"/>
        <color rgb="0063BE7B"/>
      </dataBar>
    </cfRule>
  </conditionalFormatting>
  <conditionalFormatting sqref="D5:D7">
    <cfRule type="cellIs" priority="2" operator="greaterThan" dxfId="0">
      <formula>0</formula>
    </cfRule>
  </conditionalFormatting>
  <conditionalFormatting sqref="E5:E7">
    <cfRule type="cellIs" priority="3" operator="greaterThan" dxfId="0">
      <formula>0</formula>
    </cfRule>
  </conditionalFormatting>
  <conditionalFormatting sqref="H5:H7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업무 관리 — 이행 관리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업무 관리 &gt; 이행 관리</t>
        </is>
      </c>
      <c r="D4" s="17" t="inlineStr">
        <is>
          <t>화면과 단위 바꾸기</t>
        </is>
      </c>
      <c r="E4" s="3" t="inlineStr">
        <is>
          <t>군 단위 · 부서 단위 · 관리대상 단위 → [누락 점검] 탭</t>
        </is>
      </c>
      <c r="F4" s="3" t="inlineStr">
        <is>
          <t>기준연도가 2025이고 단위마다 표가 바뀌며 숫자가 맞다</t>
        </is>
      </c>
      <c r="G4" s="29" t="n"/>
      <c r="H4" s="7" t="n"/>
      <c r="I4" s="7" t="n"/>
    </row>
    <row r="5" ht="36" customHeight="1">
      <c r="A5" s="28" t="n">
        <v>2</v>
      </c>
      <c r="B5" s="30" t="inlineStr">
        <is>
          <t>박안전</t>
        </is>
      </c>
      <c r="C5" s="30" t="inlineStr">
        <is>
          <t>업무 관리 &gt; 이행 관리</t>
        </is>
      </c>
      <c r="D5" s="17" t="inlineStr">
        <is>
          <t>상태 칩과 엑셀</t>
        </is>
      </c>
      <c r="E5" s="3" t="inlineStr">
        <is>
          <t>부서 단위에서 상태 칩을 누른다 → [엑셀 내려받기]</t>
        </is>
      </c>
      <c r="F5" s="3" t="inlineStr">
        <is>
          <t>칩 숫자와 줄 수가 같고 «…csv 내려받기 (N행)»의 N이 지금 건수와 같다</t>
        </is>
      </c>
      <c r="G5" s="29" t="n"/>
      <c r="H5" s="7" t="n"/>
      <c r="I5" s="7" t="n"/>
    </row>
    <row r="6" ht="51" customHeight="1">
      <c r="A6" s="28" t="n">
        <v>3</v>
      </c>
      <c r="B6" s="30" t="inlineStr">
        <is>
          <t>박안전</t>
        </is>
      </c>
      <c r="C6" s="30" t="inlineStr">
        <is>
          <t>업무 관리 &gt; 이행 관리</t>
        </is>
      </c>
      <c r="D6" s="17" t="inlineStr">
        <is>
          <t>할 일 상세</t>
        </is>
      </c>
      <c r="E6" s="3" t="inlineStr">
        <is>
          <t>할 일 하나를 누른다 → 문서 목록 쪽 넘기기(쪽 번호 입력 포함) → [‹ 단계별 이행현황으로]</t>
        </is>
      </c>
      <c r="F6" s="3" t="inlineStr">
        <is>
          <t>상세가 열리고 쪽 넘기기가 된다. 없는 쪽 번호를 넣어도 빈 화면이 되지 않는다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0" t="inlineStr">
        <is>
          <t>업무 관리 &gt; 이행 관리</t>
        </is>
      </c>
      <c r="D7" s="17" t="inlineStr">
        <is>
          <t>서류 올리기</t>
        </is>
      </c>
      <c r="E7" s="3" t="inlineStr">
        <is>
          <t>[＋ 서류 올리기] → 빈 채로 [다음] → 채워서 다음 → 할 일 고르기 → 등록</t>
        </is>
      </c>
      <c r="F7" s="3" t="inlineStr">
        <is>
          <t>빈 칸마다 오류가 표시된다. 등록하면 만든 문서로 가는 링크와 [되돌리기]가 있다</t>
        </is>
      </c>
      <c r="G7" s="29" t="n"/>
      <c r="H7" s="7" t="n"/>
      <c r="I7" s="7" t="n"/>
    </row>
    <row r="8" ht="51" customHeight="1">
      <c r="A8" s="28" t="n">
        <v>5</v>
      </c>
      <c r="B8" s="30" t="inlineStr">
        <is>
          <t>박안전</t>
        </is>
      </c>
      <c r="C8" s="30" t="inlineStr">
        <is>
          <t>업무 관리 &gt; 이행 관리</t>
        </is>
      </c>
      <c r="D8" s="17" t="inlineStr">
        <is>
          <t>완료 확인·반려</t>
        </is>
      </c>
      <c r="E8" s="3" t="inlineStr">
        <is>
          <t>진행중 할 일 → [확인하기] → 사유 없이 반려 → 사유 넣고 반려 → [확인하기] → [완료 처리] → [확인 되돌리기]</t>
        </is>
      </c>
      <c r="F8" s="3" t="inlineStr">
        <is>
          <t>사유 없는 반려는 안 된다. 완료 처리와 되돌리기가 된다</t>
        </is>
      </c>
      <c r="G8" s="29" t="n"/>
      <c r="H8" s="7" t="n"/>
      <c r="I8" s="7" t="n"/>
    </row>
    <row r="9" ht="36" customHeight="1">
      <c r="A9" s="28" t="n">
        <v>6</v>
      </c>
      <c r="B9" s="3" t="inlineStr">
        <is>
          <t>하정수</t>
        </is>
      </c>
      <c r="C9" s="30" t="inlineStr">
        <is>
          <t>업무 관리 &gt; 이행 관리</t>
        </is>
      </c>
      <c r="D9" s="17" t="inlineStr">
        <is>
          <t>부서 담당자는 확인하지 않는다</t>
        </is>
      </c>
      <c r="E9" s="3" t="inlineStr">
        <is>
          <t>같은 할 일 상세를 연다</t>
        </is>
      </c>
      <c r="F9" s="3" t="inlineStr">
        <is>
          <t>[확인하기] · 반려 · 비해당 버튼이 없다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업무 관리 — 문서 목록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7</v>
      </c>
      <c r="B4" s="3" t="inlineStr">
        <is>
          <t>박안전</t>
        </is>
      </c>
      <c r="C4" s="3" t="inlineStr">
        <is>
          <t>업무 관리 &gt; 문서 목록</t>
        </is>
      </c>
      <c r="D4" s="17" t="inlineStr">
        <is>
          <t>조건 걸기</t>
        </is>
      </c>
      <c r="E4" s="3" t="inlineStr">
        <is>
          <t>연도 칩 · 검색 · [업무단계 고르기]로 할 일 2개 → 새로고침 → [필터 초기화]</t>
        </is>
      </c>
      <c r="F4" s="3" t="inlineStr">
        <is>
          <t>조건이 새로고침 뒤에도 남고 초기화하면 풀린다</t>
        </is>
      </c>
      <c r="G4" s="29" t="n"/>
      <c r="H4" s="7" t="n"/>
      <c r="I4" s="7" t="n"/>
    </row>
    <row r="5" ht="51" customHeight="1">
      <c r="A5" s="28" t="n">
        <v>8</v>
      </c>
      <c r="B5" s="30" t="inlineStr">
        <is>
          <t>박안전</t>
        </is>
      </c>
      <c r="C5" s="30" t="inlineStr">
        <is>
          <t>업무 관리 &gt; 문서 목록</t>
        </is>
      </c>
      <c r="D5" s="17" t="inlineStr">
        <is>
          <t>문서 상세</t>
        </is>
      </c>
      <c r="E5" s="3" t="inlineStr">
        <is>
          <t>문서 하나를 연다</t>
        </is>
      </c>
      <c r="F5" s="3" t="inlineStr">
        <is>
          <t>문서번호 · 수발신 · 담당부서 · 데이터 구분 · 연결된 할 일이 보이고, 할 일을 누르면 이행 관리로 간다</t>
        </is>
      </c>
      <c r="G5" s="29" t="n"/>
      <c r="H5" s="7" t="n"/>
      <c r="I5" s="7" t="n"/>
    </row>
    <row r="6" ht="36" customHeight="1">
      <c r="A6" s="28" t="n">
        <v>9</v>
      </c>
      <c r="B6" s="30" t="inlineStr">
        <is>
          <t>박안전</t>
        </is>
      </c>
      <c r="C6" s="30" t="inlineStr">
        <is>
          <t>업무 관리 &gt; 문서 목록</t>
        </is>
      </c>
      <c r="D6" s="17" t="inlineStr">
        <is>
          <t>미분류 문서 분류하기</t>
        </is>
      </c>
      <c r="E6" s="3" t="inlineStr">
        <is>
          <t>미분류 문서 → [업무단계 지정] → 할 일 하나 → 저장</t>
        </is>
      </c>
      <c r="F6" s="3" t="inlineStr">
        <is>
          <t>«증빙으로 붙었습니다» 후 미분류 표시가 사라진다</t>
        </is>
      </c>
      <c r="G6" s="29" t="n"/>
      <c r="H6" s="7" t="n"/>
      <c r="I6" s="7" t="n"/>
    </row>
    <row r="7" ht="36" customHeight="1">
      <c r="A7" s="28" t="n">
        <v>10</v>
      </c>
      <c r="B7" s="30" t="inlineStr">
        <is>
          <t>박안전</t>
        </is>
      </c>
      <c r="C7" s="30" t="inlineStr">
        <is>
          <t>업무 관리 &gt; 문서 목록</t>
        </is>
      </c>
      <c r="D7" s="17" t="inlineStr">
        <is>
          <t>올해로 이어받기</t>
        </is>
      </c>
      <c r="E7" s="3" t="inlineStr">
        <is>
          <t>할 일이 붙은 2025 문서 → [📄 올해 문서로 등록] → 원본으로 돌아가 다시 누른다</t>
        </is>
      </c>
      <c r="F7" s="3" t="inlineStr">
        <is>
          <t>2026 문서가 생기고, 두 번째에는 새로 만들지 않고 이미 이어받은 문서로 안내한다</t>
        </is>
      </c>
      <c r="G7" s="29" t="n"/>
      <c r="H7" s="7" t="n"/>
      <c r="I7" s="7" t="n"/>
    </row>
    <row r="8" ht="36" customHeight="1">
      <c r="A8" s="28" t="n">
        <v>11</v>
      </c>
      <c r="B8" s="30" t="inlineStr">
        <is>
          <t>박안전</t>
        </is>
      </c>
      <c r="C8" s="3" t="inlineStr">
        <is>
          <t>업무 관리 왼쪽 메뉴</t>
        </is>
      </c>
      <c r="D8" s="17" t="inlineStr">
        <is>
          <t>메뉴 구성</t>
        </is>
      </c>
      <c r="E8" s="3" t="inlineStr">
        <is>
          <t>업무 관리의 왼쪽 메뉴를 본다</t>
        </is>
      </c>
      <c r="F8" s="3" t="inlineStr">
        <is>
          <t>이행 관리와 문서 목록 둘뿐이고 기준문서함은 없다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업무 관리</t>
        </is>
      </c>
    </row>
    <row r="3">
      <c r="A3" t="inlineStr">
        <is>
          <t>담당자</t>
        </is>
      </c>
      <c r="B3" t="inlineStr">
        <is>
          <t>김유석</t>
        </is>
      </c>
    </row>
    <row r="4">
      <c r="A4" t="inlineStr">
        <is>
          <t>파일 코드</t>
        </is>
      </c>
      <c r="B4" t="inlineStr">
        <is>
          <t>CP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