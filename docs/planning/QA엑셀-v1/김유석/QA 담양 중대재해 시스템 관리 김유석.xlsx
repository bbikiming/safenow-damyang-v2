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사용자·권한" sheetId="3" state="visible" r:id="rId3"/>
    <sheet xmlns:r="http://schemas.openxmlformats.org/officeDocument/2006/relationships" name="기준정보" sheetId="4" state="visible" r:id="rId4"/>
    <sheet xmlns:r="http://schemas.openxmlformats.org/officeDocument/2006/relationships" name="연계·알림" sheetId="5" state="visible" r:id="rId5"/>
    <sheet xmlns:r="http://schemas.openxmlformats.org/officeDocument/2006/relationships" name="_정보" sheetId="6" state="hidden" r:id="rId6"/>
  </sheets>
  <definedNames>
    <definedName name="_xlnm._FilterDatabase" localSheetId="2" hidden="1">'사용자·권한'!$A$3:$I$8</definedName>
    <definedName name="_xlnm.Print_Titles" localSheetId="2">'사용자·권한'!$3:$3</definedName>
    <definedName name="_xlnm._FilterDatabase" localSheetId="3" hidden="1">'기준정보'!$A$3:$I$6</definedName>
    <definedName name="_xlnm.Print_Titles" localSheetId="3">'기준정보'!$3:$3</definedName>
    <definedName name="_xlnm._FilterDatabase" localSheetId="4" hidden="1">'연계·알림'!$A$3:$I$5</definedName>
    <definedName name="_xlnm.Print_Titles" localSheetId="4">'연계·알림'!$3:$3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시스템 관리 · 김유석</t>
        </is>
      </c>
    </row>
    <row r="3" ht="22" customHeight="1">
      <c r="A3" s="2" t="inlineStr">
        <is>
          <t>메뉴</t>
        </is>
      </c>
      <c r="B3" s="3" t="inlineStr">
        <is>
          <t>시스템 관리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김유석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시스템 관리는 박안전에게만 보입니다. 권한 설정을 바꿔도 실제 메뉴 노출은 바뀌지 않는 것이 정상입니다.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10줄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사용자·권한 → 기준정보 → 연계·알림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시스템 관리 · 김유석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사용자·권한</t>
        </is>
      </c>
      <c r="B5" s="21">
        <f>COUNTA('사용자·권한'!$A$4:$A$8)</f>
        <v>5</v>
      </c>
      <c r="C5" s="21">
        <f>COUNTIF('사용자·권한'!$G$4:$G$8,"성공")</f>
        <v>0</v>
      </c>
      <c r="D5" s="21">
        <f>COUNTIF('사용자·권한'!$G$4:$G$8,"실패")</f>
        <v>0</v>
      </c>
      <c r="E5" s="21">
        <f>COUNTIF('사용자·권한'!$G$4:$G$8,"오류")</f>
        <v>0</v>
      </c>
      <c r="F5" s="21">
        <f>COUNTIF('사용자·권한'!$G$4:$G$8,"보류")</f>
        <v>0</v>
      </c>
      <c r="G5" s="21">
        <f>COUNTIF('사용자·권한'!$G$4:$G$8,"확인 불가")</f>
        <v>0</v>
      </c>
      <c r="H5" s="21">
        <f>COUNTIF('사용자·권한'!$G$4:$G$8,"문의")</f>
        <v>0</v>
      </c>
      <c r="I5" s="21">
        <f>COUNTBLANK('사용자·권한'!$G$4:$G$8)</f>
        <v>5</v>
      </c>
      <c r="J5" s="22">
        <f>IF(B5=0,0,(B5-I5)/B5)</f>
        <v>0</v>
      </c>
    </row>
    <row r="6" ht="22" customHeight="1">
      <c r="A6" s="20" t="inlineStr">
        <is>
          <t>기준정보</t>
        </is>
      </c>
      <c r="B6" s="21">
        <f>COUNTA('기준정보'!$A$4:$A$6)</f>
        <v>3</v>
      </c>
      <c r="C6" s="21">
        <f>COUNTIF('기준정보'!$G$4:$G$6,"성공")</f>
        <v>0</v>
      </c>
      <c r="D6" s="21">
        <f>COUNTIF('기준정보'!$G$4:$G$6,"실패")</f>
        <v>0</v>
      </c>
      <c r="E6" s="21">
        <f>COUNTIF('기준정보'!$G$4:$G$6,"오류")</f>
        <v>0</v>
      </c>
      <c r="F6" s="21">
        <f>COUNTIF('기준정보'!$G$4:$G$6,"보류")</f>
        <v>0</v>
      </c>
      <c r="G6" s="21">
        <f>COUNTIF('기준정보'!$G$4:$G$6,"확인 불가")</f>
        <v>0</v>
      </c>
      <c r="H6" s="21">
        <f>COUNTIF('기준정보'!$G$4:$G$6,"문의")</f>
        <v>0</v>
      </c>
      <c r="I6" s="21">
        <f>COUNTBLANK('기준정보'!$G$4:$G$6)</f>
        <v>3</v>
      </c>
      <c r="J6" s="22">
        <f>IF(B6=0,0,(B6-I6)/B6)</f>
        <v>0</v>
      </c>
    </row>
    <row r="7" ht="22" customHeight="1">
      <c r="A7" s="20" t="inlineStr">
        <is>
          <t>연계·알림</t>
        </is>
      </c>
      <c r="B7" s="21">
        <f>COUNTA('연계·알림'!$A$4:$A$5)</f>
        <v>2</v>
      </c>
      <c r="C7" s="21">
        <f>COUNTIF('연계·알림'!$G$4:$G$5,"성공")</f>
        <v>0</v>
      </c>
      <c r="D7" s="21">
        <f>COUNTIF('연계·알림'!$G$4:$G$5,"실패")</f>
        <v>0</v>
      </c>
      <c r="E7" s="21">
        <f>COUNTIF('연계·알림'!$G$4:$G$5,"오류")</f>
        <v>0</v>
      </c>
      <c r="F7" s="21">
        <f>COUNTIF('연계·알림'!$G$4:$G$5,"보류")</f>
        <v>0</v>
      </c>
      <c r="G7" s="21">
        <f>COUNTIF('연계·알림'!$G$4:$G$5,"확인 불가")</f>
        <v>0</v>
      </c>
      <c r="H7" s="21">
        <f>COUNTIF('연계·알림'!$G$4:$G$5,"문의")</f>
        <v>0</v>
      </c>
      <c r="I7" s="21">
        <f>COUNTBLANK('연계·알림'!$G$4:$G$5)</f>
        <v>2</v>
      </c>
      <c r="J7" s="22">
        <f>IF(B7=0,0,(B7-I7)/B7)</f>
        <v>0</v>
      </c>
    </row>
    <row r="8" ht="24" customHeight="1">
      <c r="A8" s="23" t="inlineStr">
        <is>
          <t>합계</t>
        </is>
      </c>
      <c r="B8" s="24">
        <f>SUM(B5:B7)</f>
        <v>10</v>
      </c>
      <c r="C8" s="24">
        <f>SUM(C5:C7)</f>
        <v>0</v>
      </c>
      <c r="D8" s="24">
        <f>SUM(D5:D7)</f>
        <v>0</v>
      </c>
      <c r="E8" s="24">
        <f>SUM(E5:E7)</f>
        <v>0</v>
      </c>
      <c r="F8" s="24">
        <f>SUM(F5:F7)</f>
        <v>0</v>
      </c>
      <c r="G8" s="24">
        <f>SUM(G5:G7)</f>
        <v>0</v>
      </c>
      <c r="H8" s="24">
        <f>SUM(H5:H7)</f>
        <v>0</v>
      </c>
      <c r="I8" s="24">
        <f>SUM(I5:I7)</f>
        <v>10</v>
      </c>
      <c r="J8" s="25">
        <f>IF(B8=0,0,(B8-I8)/B8)</f>
        <v>0</v>
      </c>
    </row>
  </sheetData>
  <mergeCells count="2">
    <mergeCell ref="A1:J1"/>
    <mergeCell ref="A2:J2"/>
  </mergeCells>
  <conditionalFormatting sqref="J5:J8">
    <cfRule type="dataBar" priority="1">
      <dataBar showValue="1">
        <cfvo type="num" val="0"/>
        <cfvo type="num" val="1"/>
        <color rgb="0063BE7B"/>
      </dataBar>
    </cfRule>
  </conditionalFormatting>
  <conditionalFormatting sqref="D5:D8">
    <cfRule type="cellIs" priority="2" operator="greaterThan" dxfId="0">
      <formula>0</formula>
    </cfRule>
  </conditionalFormatting>
  <conditionalFormatting sqref="E5:E8">
    <cfRule type="cellIs" priority="3" operator="greaterThan" dxfId="0">
      <formula>0</formula>
    </cfRule>
  </conditionalFormatting>
  <conditionalFormatting sqref="H5:H8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시스템 관리 — 사용자·권한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 → 홍길동</t>
        </is>
      </c>
      <c r="C4" s="3" t="inlineStr">
        <is>
          <t>시스템 관리 (8개 화면)</t>
        </is>
      </c>
      <c r="D4" s="17" t="inlineStr">
        <is>
          <t>메뉴 열기</t>
        </is>
      </c>
      <c r="E4" s="3" t="inlineStr">
        <is>
          <t>박안전: 왼쪽 메뉴 8개를 차례로 연다 / 홍길동: 맨 위 메뉴를 본다</t>
        </is>
      </c>
      <c r="F4" s="3" t="inlineStr">
        <is>
          <t>8개 화면이 오류 없이 뜬다. 홍길동에게는 «시스템 관리»가 없다</t>
        </is>
      </c>
      <c r="G4" s="29" t="n"/>
      <c r="H4" s="7" t="n"/>
      <c r="I4" s="7" t="n"/>
    </row>
    <row r="5" ht="36" customHeight="1">
      <c r="A5" s="28" t="n">
        <v>2</v>
      </c>
      <c r="B5" s="3" t="inlineStr">
        <is>
          <t>박안전</t>
        </is>
      </c>
      <c r="C5" s="3" t="inlineStr">
        <is>
          <t>시스템 관리 &gt; 사용자 관리</t>
        </is>
      </c>
      <c r="D5" s="17" t="inlineStr">
        <is>
          <t>사용자 목록</t>
        </is>
      </c>
      <c r="E5" s="3" t="inlineStr">
        <is>
          <t>이름·부서 검색 → 한 사람의 [접근 메뉴]</t>
        </is>
      </c>
      <c r="F5" s="3" t="inlineStr">
        <is>
          <t>검색대로 걸러지고 그 사람이 쓸 수 있는 메뉴가 보인다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시스템 관리 &gt; 사용자 관리</t>
        </is>
      </c>
      <c r="D6" s="17" t="inlineStr">
        <is>
          <t>조직 직접 등록</t>
        </is>
      </c>
      <c r="E6" s="3" t="inlineStr">
        <is>
          <t>[+ 부서 직접 등록] → 빈 채로 [저장] → 채워서 저장 → [수정] → [사용 중지]</t>
        </is>
      </c>
      <c r="F6" s="3" t="inlineStr">
        <is>
          <t>빈 채로는 «부서명을 입력하세요.» 저장·수정이 반영되고 사용 중지 알림이 뜬다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" t="inlineStr">
        <is>
          <t>시스템 관리 &gt; 권한 관리</t>
        </is>
      </c>
      <c r="D7" s="17" t="inlineStr">
        <is>
          <t>권한 등급</t>
        </is>
      </c>
      <c r="E7" s="3" t="inlineStr">
        <is>
          <t>등급을 하나씩 누른다 → [+ 등급 추가]</t>
        </is>
      </c>
      <c r="F7" s="3" t="inlineStr">
        <is>
          <t>등급별 구성원·메뉴 설정이 보이고 시스템 관리자는 «보호»로 표시된다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" t="inlineStr">
        <is>
          <t>시스템 관리 &gt; 메뉴 관리</t>
        </is>
      </c>
      <c r="D8" s="17" t="inlineStr">
        <is>
          <t>메뉴 트리</t>
        </is>
      </c>
      <c r="E8" s="3" t="inlineStr">
        <is>
          <t>메뉴를 누른다 → 권한 설정을 본다 → 메뉴 이름 검색</t>
        </is>
      </c>
      <c r="F8" s="3" t="inlineStr">
        <is>
          <t>메뉴가 순서대로 보이고 메뉴에서 뺀 화면에는 «메뉴 제외» 표시가 있다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시스템 관리 — 기준정보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6</v>
      </c>
      <c r="B4" s="3" t="inlineStr">
        <is>
          <t>박안전</t>
        </is>
      </c>
      <c r="C4" s="3" t="inlineStr">
        <is>
          <t>시스템 관리 &gt; 사업장 관리</t>
        </is>
      </c>
      <c r="D4" s="17" t="inlineStr">
        <is>
          <t>등록·편집·사용 중지</t>
        </is>
      </c>
      <c r="E4" s="3" t="inlineStr">
        <is>
          <t>[＋ 사업장 등록] → 빈 채로 [등록] → 채워서 → [편집] → [사용 중지]를 사유 없이 → 사유 넣고</t>
        </is>
      </c>
      <c r="F4" s="3" t="inlineStr">
        <is>
          <t>빈 칸이면 «사업장명을 입력하세요.» «사용 중지 사유를 입력하세요.»로 막히고, 채우면 된다</t>
        </is>
      </c>
      <c r="G4" s="29" t="n"/>
      <c r="H4" s="7" t="n"/>
      <c r="I4" s="7" t="n"/>
    </row>
    <row r="5" ht="36" customHeight="1">
      <c r="A5" s="28" t="n">
        <v>7</v>
      </c>
      <c r="B5" s="30" t="inlineStr">
        <is>
          <t>박안전</t>
        </is>
      </c>
      <c r="C5" s="3" t="inlineStr">
        <is>
          <t>시스템 관리 &gt; 프리셋 양식 관리</t>
        </is>
      </c>
      <c r="D5" s="17" t="inlineStr">
        <is>
          <t>양식 편집</t>
        </is>
      </c>
      <c r="E5" s="3" t="inlineStr">
        <is>
          <t>양식 [편집] → [+ 필드 추가] → [미리보기] → [저장]</t>
        </is>
      </c>
      <c r="F5" s="3" t="inlineStr">
        <is>
          <t>편집·미리보기가 된다. 저장은 «…연계 후 제공됩니다»가 뜬다</t>
        </is>
      </c>
      <c r="G5" s="29" t="n"/>
      <c r="H5" s="7" t="n"/>
      <c r="I5" s="7" t="n"/>
    </row>
    <row r="6" ht="36" customHeight="1">
      <c r="A6" s="28" t="n">
        <v>8</v>
      </c>
      <c r="B6" s="30" t="inlineStr">
        <is>
          <t>박안전</t>
        </is>
      </c>
      <c r="C6" s="3" t="inlineStr">
        <is>
          <t>시스템 관리 &gt; 법령 관리</t>
        </is>
      </c>
      <c r="D6" s="17" t="inlineStr">
        <is>
          <t>조문 찾기</t>
        </is>
      </c>
      <c r="E6" s="3" t="inlineStr">
        <is>
          <t>자주 찾는 질문 하나 → 검색창에 «교육 시간» → [메뉴 근거 매핑] · [변경 이력] 탭</t>
        </is>
      </c>
      <c r="F6" s="3" t="inlineStr">
        <is>
          <t>조문과 «요약 — 원문 아님» 설명이 보이고 검색이 된다. 매핑 탭에는 편집 버튼이 없다</t>
        </is>
      </c>
      <c r="G6" s="29" t="n"/>
      <c r="H6" s="7" t="n"/>
      <c r="I6" s="7" t="n"/>
    </row>
  </sheetData>
  <autoFilter ref="A3:I6"/>
  <mergeCells count="2">
    <mergeCell ref="A1:I1"/>
    <mergeCell ref="A2:I2"/>
  </mergeCells>
  <conditionalFormatting sqref="G4:G6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6">
    <cfRule type="expression" priority="7" dxfId="7">
      <formula>AND(OR($G4="실패",$G4="오류",$G4="문의"),$H4="")</formula>
    </cfRule>
  </conditionalFormatting>
  <dataValidations count="1">
    <dataValidation sqref="G4:G6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시스템 관리 — 연계·알림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9</v>
      </c>
      <c r="B4" s="3" t="inlineStr">
        <is>
          <t>박안전</t>
        </is>
      </c>
      <c r="C4" s="3" t="inlineStr">
        <is>
          <t>시스템 관리 &gt; 연계 관리</t>
        </is>
      </c>
      <c r="D4" s="17" t="inlineStr">
        <is>
          <t>준비 목록</t>
        </is>
      </c>
      <c r="E4" s="3" t="inlineStr">
        <is>
          <t>[준비 목록 보기] → 한 항목의 상태를 바꾼다 → 닫았다 다시 연다</t>
        </is>
      </c>
      <c r="F4" s="3" t="inlineStr">
        <is>
          <t>고른 상태가 남아 있고 위의 미수신 숫자가 바뀐다</t>
        </is>
      </c>
      <c r="G4" s="29" t="n"/>
      <c r="H4" s="7" t="n"/>
      <c r="I4" s="7" t="n"/>
    </row>
    <row r="5" ht="36" customHeight="1">
      <c r="A5" s="28" t="n">
        <v>10</v>
      </c>
      <c r="B5" s="30" t="inlineStr">
        <is>
          <t>박안전</t>
        </is>
      </c>
      <c r="C5" s="3" t="inlineStr">
        <is>
          <t>시스템 관리 &gt; 알림 관리</t>
        </is>
      </c>
      <c r="D5" s="17" t="inlineStr">
        <is>
          <t>알림 규칙</t>
        </is>
      </c>
      <c r="E5" s="3" t="inlineStr">
        <is>
          <t>규칙 하나를 바꿔 [저장]</t>
        </is>
      </c>
      <c r="F5" s="3" t="inlineStr">
        <is>
          <t>«…실제 발송은 외부 채널 연계 후 적용됩니다»가 뜬다. 발송 이력에 «예시 자료» 표시가 있다</t>
        </is>
      </c>
      <c r="G5" s="29" t="n"/>
      <c r="H5" s="7" t="n"/>
      <c r="I5" s="7" t="n"/>
    </row>
  </sheetData>
  <autoFilter ref="A3:I5"/>
  <mergeCells count="2">
    <mergeCell ref="A1:I1"/>
    <mergeCell ref="A2:I2"/>
  </mergeCells>
  <conditionalFormatting sqref="G4:G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5">
    <cfRule type="expression" priority="7" dxfId="7">
      <formula>AND(OR($G4="실패",$G4="오류",$G4="문의"),$H4="")</formula>
    </cfRule>
  </conditionalFormatting>
  <dataValidations count="1">
    <dataValidation sqref="G4:G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시스템 관리</t>
        </is>
      </c>
    </row>
    <row r="3">
      <c r="A3" t="inlineStr">
        <is>
          <t>담당자</t>
        </is>
      </c>
      <c r="B3" t="inlineStr">
        <is>
          <t>김유석</t>
        </is>
      </c>
    </row>
    <row r="4">
      <c r="A4" t="inlineStr">
        <is>
          <t>파일 코드</t>
        </is>
      </c>
      <c r="B4" t="inlineStr">
        <is>
          <t>AD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