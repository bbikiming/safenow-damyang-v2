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사용자·권한" sheetId="3" state="visible" r:id="rId3"/>
    <sheet xmlns:r="http://schemas.openxmlformats.org/officeDocument/2006/relationships" name="기준정보" sheetId="4" state="visible" r:id="rId4"/>
    <sheet xmlns:r="http://schemas.openxmlformats.org/officeDocument/2006/relationships" name="연계·알림" sheetId="5" state="visible" r:id="rId5"/>
    <sheet xmlns:r="http://schemas.openxmlformats.org/officeDocument/2006/relationships" name="_정보" sheetId="6" state="hidden" r:id="rId6"/>
  </sheets>
  <definedNames>
    <definedName name="_xlnm._FilterDatabase" localSheetId="2" hidden="1">'사용자·권한'!$A$3:$I$8</definedName>
    <definedName name="_xlnm.Print_Titles" localSheetId="2">'사용자·권한'!$3:$3</definedName>
    <definedName name="_xlnm._FilterDatabase" localSheetId="3" hidden="1">'기준정보'!$A$3:$I$6</definedName>
    <definedName name="_xlnm.Print_Titles" localSheetId="3">'기준정보'!$3:$3</definedName>
    <definedName name="_xlnm._FilterDatabase" localSheetId="4" hidden="1">'연계·알림'!$A$3:$I$6</definedName>
    <definedName name="_xlnm.Print_Titles" localSheetId="4">'연계·알림'!$3:$3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시스템 관리 · 김유석</t>
        </is>
      </c>
    </row>
    <row r="3" ht="22" customHeight="1">
      <c r="A3" s="2" t="inlineStr">
        <is>
          <t>메뉴</t>
        </is>
      </c>
      <c r="B3" s="3" t="inlineStr">
        <is>
          <t>시스템 관리 (훑어보는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김유석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QA박안전5 (재난안전과 담당자) · QA하정수5 (내 부서 보건소 담당 공무원)</t>
        </is>
      </c>
      <c r="C5" s="4" t="n"/>
      <c r="D5" s="4" t="n"/>
      <c r="E5" s="4" t="n"/>
      <c r="F5" s="4" t="n"/>
      <c r="G5" s="4" t="n"/>
      <c r="H5" s="5" t="n"/>
    </row>
    <row r="6" ht="36" customHeight="1">
      <c r="A6" s="2" t="inlineStr">
        <is>
          <t>이 파일</t>
        </is>
      </c>
      <c r="B6" s="3" t="inlineStr">
        <is>
          <t>시스템 관리 권한을 받은 QA박안전5 계정으로 합니다 — 그 창 맨 위에 «시스템 관리»가 없으면 QA박안전5 줄은 모두 «확인 불가». 여기 설정은 다른 사람 화면에 바로 영향을 주므로 내가 만든 «김유석_…» 항목만 바꾸고, 기존 값을 바꿨으면 같은 줄에서 되돌립니다.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줄 수</t>
        </is>
      </c>
      <c r="B7" s="3" t="inlineStr">
        <is>
          <t>11줄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시트</t>
        </is>
      </c>
      <c r="B8" s="3" t="inlineStr">
        <is>
          <t>사용자·권한 → 기준정보 → 연계·알림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테스트 주소</t>
        </is>
      </c>
      <c r="B9" s="6" t="inlineStr">
        <is>
          <t>https://safety.damyang.go.kr/login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브라우저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기기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시작한 날</t>
        </is>
      </c>
      <c r="B12" s="8" t="n"/>
      <c r="C12" s="4" t="n"/>
      <c r="D12" s="4" t="n"/>
      <c r="E12" s="4" t="n"/>
      <c r="F12" s="4" t="n"/>
      <c r="G12" s="4" t="n"/>
      <c r="H12" s="5" t="n"/>
    </row>
    <row r="14" ht="24" customHeight="1">
      <c r="A14" s="9" t="inlineStr">
        <is>
          <t>이렇게 하면 됩니다</t>
        </is>
      </c>
    </row>
    <row r="15" ht="36" customHeight="1">
      <c r="A15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6" ht="36" customHeight="1">
      <c r="A16" s="10" t="inlineStr">
        <is>
          <t>② 내 계정 두 개를 창 두 개에 따로 로그인해 둡니다 — 일반 창에는 QA박안전5(재난안전과), 시크릿 창(Ctrl + Shift + N · 맥 Cmd + Shift + N)에는 QA하정수5(담당 공무원). 두 창을 나란히 두면 계정을 바꿀 필요가 없습니다.</t>
        </is>
      </c>
    </row>
    <row r="17" ht="21" customHeight="1">
      <c r="A17" s="10" t="inlineStr">
        <is>
          <t>③ «누구로» 칸에 적힌 계정의 창에서 «어디서» 메뉴로 가서 «해 볼 것»대로 눌러 봅니다.</t>
        </is>
      </c>
    </row>
    <row r="18" ht="21" customHeight="1">
      <c r="A18" s="10" t="inlineStr">
        <is>
          <t>④ «이러면 성공»과 같으면 «결과» 칸에서 성공을, 다르면 실패·오류 등을 고릅니다.</t>
        </is>
      </c>
    </row>
    <row r="19" ht="21" customHeight="1">
      <c r="A19" s="10" t="inlineStr">
        <is>
          <t>⑤ 실패·오류·문의면 «메모»에 한 줄 적고, 필요하면 «사진» 칸에 화면 캡처를 붙여넣습니다.</t>
        </is>
      </c>
    </row>
    <row r="21" ht="24" customHeight="1">
      <c r="A21" s="9" t="inlineStr">
        <is>
          <t>결과 고르는 법</t>
        </is>
      </c>
    </row>
    <row r="22" ht="22" customHeight="1">
      <c r="A22" s="2" t="inlineStr">
        <is>
          <t>결과</t>
        </is>
      </c>
      <c r="B22" s="2" t="inlineStr">
        <is>
          <t>이럴 때 고르세요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1" t="inlineStr">
        <is>
          <t>성공</t>
        </is>
      </c>
      <c r="B23" s="3" t="inlineStr">
        <is>
          <t>«이러면 성공»대로 된다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2" t="inlineStr">
        <is>
          <t>실패</t>
        </is>
      </c>
      <c r="B24" s="3" t="inlineStr">
        <is>
          <t>되긴 하는데 설명과 다르다 — 막혀야 하는데 저장된다, 문구·숫자가 틀리다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3" t="inlineStr">
        <is>
          <t>오류</t>
        </is>
      </c>
      <c r="B25" s="3" t="inlineStr">
        <is>
          <t>화면이 멈추거나 깨진다, 눌러도 아무 일이 없다, 오류 창이 뜬다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4" t="inlineStr">
        <is>
          <t>보류</t>
        </is>
      </c>
      <c r="B26" s="3" t="inlineStr">
        <is>
          <t>앞 단계가 안 돼서 지금은 못 한다 — 메모에 이유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5" t="inlineStr">
        <is>
          <t>확인 불가</t>
        </is>
      </c>
      <c r="B27" s="3" t="inlineStr">
        <is>
          <t>이 환경에서는 볼 수 없다 — 예: 확인할 데이터가 없다</t>
        </is>
      </c>
      <c r="C27" s="4" t="n"/>
      <c r="D27" s="4" t="n"/>
      <c r="E27" s="4" t="n"/>
      <c r="F27" s="4" t="n"/>
      <c r="G27" s="4" t="n"/>
      <c r="H27" s="5" t="n"/>
    </row>
    <row r="28" ht="22" customHeight="1">
      <c r="A28" s="16" t="inlineStr">
        <is>
          <t>문의</t>
        </is>
      </c>
      <c r="B28" s="3" t="inlineStr">
        <is>
          <t>맞는지 헷갈린다 — 메모에 궁금한 점</t>
        </is>
      </c>
      <c r="C28" s="4" t="n"/>
      <c r="D28" s="4" t="n"/>
      <c r="E28" s="4" t="n"/>
      <c r="F28" s="4" t="n"/>
      <c r="G28" s="4" t="n"/>
      <c r="H28" s="5" t="n"/>
    </row>
    <row r="30" ht="24" customHeight="1">
      <c r="A30" s="9" t="inlineStr">
        <is>
          <t>사진 붙이는 법</t>
        </is>
      </c>
    </row>
    <row r="31" ht="21" customHeight="1">
      <c r="A31" s="10" t="inlineStr">
        <is>
          <t>• 윈도우: Win + Shift + S → 영역 선택 → 엑셀에서 그 줄의 «사진» 칸을 누르고 Ctrl + V</t>
        </is>
      </c>
    </row>
    <row r="32" ht="21" customHeight="1">
      <c r="A32" s="10" t="inlineStr">
        <is>
          <t>• 맥: Cmd + Ctrl + Shift + 4 → 영역 선택 → 엑셀에서 그 줄의 «사진» 칸을 누르고 Cmd + V</t>
        </is>
      </c>
    </row>
    <row r="33" ht="21" customHeight="1">
      <c r="A33" s="10" t="inlineStr">
        <is>
          <t>• 사진이 크면 모서리를 끌어 줄이세요. 사진은 그 줄 «사진» 칸 위에 두면 됩니다 — 취합할 때 줄 번호로 찾습니다.</t>
        </is>
      </c>
    </row>
    <row r="34" ht="21" customHeight="1">
      <c r="A34" s="10" t="inlineStr">
        <is>
          <t>• 사진은 떠 있는 그대로 두세요(«셀에 배치»로 넣으면 취합할 때 꺼내지 못합니다).</t>
        </is>
      </c>
    </row>
    <row r="36" ht="24" customHeight="1">
      <c r="A36" s="9" t="inlineStr">
        <is>
          <t>누구로 — 내 계정 두 개</t>
        </is>
      </c>
    </row>
    <row r="37" ht="21" customHeight="1">
      <c r="A37" s="10" t="inlineStr">
        <is>
          <t>• 계정은 두 개뿐입니다. «누구로» 칸에 계정 이름과 권한이 함께 적혀 있습니다. 비밀번호는 따로 받습니다.</t>
        </is>
      </c>
    </row>
    <row r="38" ht="22" customHeight="1">
      <c r="A38" s="2" t="inlineStr">
        <is>
          <t>이름</t>
        </is>
      </c>
      <c r="B38" s="2" t="inlineStr">
        <is>
          <t>권한</t>
        </is>
      </c>
      <c r="C38" s="5" t="n"/>
      <c r="D38" s="2" t="inlineStr">
        <is>
          <t>볼 수 있는 것</t>
        </is>
      </c>
      <c r="E38" s="5" t="n"/>
      <c r="F38" s="2" t="inlineStr">
        <is>
          <t>주로 하는 것</t>
        </is>
      </c>
      <c r="G38" s="4" t="n"/>
      <c r="H38" s="5" t="n"/>
    </row>
    <row r="39" ht="22" customHeight="1">
      <c r="A39" s="17" t="inlineStr">
        <is>
          <t>QA박안전5</t>
        </is>
      </c>
      <c r="B39" s="3" t="inlineStr">
        <is>
          <t>재난안전과 담당자</t>
        </is>
      </c>
      <c r="C39" s="5" t="n"/>
      <c r="D39" s="3" t="inlineStr">
        <is>
          <t>모든 부서 · «내 할일»은 전체</t>
        </is>
      </c>
      <c r="E39" s="5" t="n"/>
      <c r="F39" s="3" t="inlineStr">
        <is>
          <t>전 부서 등록·수정 · 확인 · 상신 · 독촉 — 대부분 이 계정</t>
        </is>
      </c>
      <c r="G39" s="4" t="n"/>
      <c r="H39" s="5" t="n"/>
    </row>
    <row r="40" ht="51" customHeight="1">
      <c r="A40" s="17" t="inlineStr">
        <is>
          <t>QA하정수5</t>
        </is>
      </c>
      <c r="B40" s="3" t="inlineStr">
        <is>
          <t>담당 공무원 (내 부서: 보건소)</t>
        </is>
      </c>
      <c r="C40" s="5" t="n"/>
      <c r="D40" s="3" t="inlineStr">
        <is>
          <t>업무 화면은 전 부서, «내 할일»은 나에게 지정된 것만, 위험성평가 부서별 조치표·교육 이수현황은 내 부서만</t>
        </is>
      </c>
      <c r="E40" s="5" t="n"/>
      <c r="F40" s="3" t="inlineStr">
        <is>
          <t>내 부서 일 · 남의 부서 것을 못 건드리는지 확인</t>
        </is>
      </c>
      <c r="G40" s="4" t="n"/>
      <c r="H40" s="5" t="n"/>
    </row>
    <row r="41" ht="22" customHeight="1">
      <c r="A41" s="17" t="inlineStr">
        <is>
          <t>QA시스템관리</t>
        </is>
      </c>
      <c r="B41" s="3" t="inlineStr">
        <is>
          <t>시스템 관리자 (김유석만)</t>
        </is>
      </c>
      <c r="C41" s="5" t="n"/>
      <c r="D41" s="3" t="inlineStr">
        <is>
          <t>시스템 관리 메뉴</t>
        </is>
      </c>
      <c r="E41" s="5" t="n"/>
      <c r="F41" s="3" t="inlineStr">
        <is>
          <t>시스템 관리 파일 · 공문 반려(결재 대행)</t>
        </is>
      </c>
      <c r="G41" s="4" t="n"/>
      <c r="H41" s="5" t="n"/>
    </row>
    <row r="43" ht="24" customHeight="1">
      <c r="A43" s="9" t="inlineStr">
        <is>
          <t>같은 서버를 6명이 함께 씁니다</t>
        </is>
      </c>
    </row>
    <row r="44" ht="21" customHeight="1">
      <c r="A44" s="10" t="inlineStr">
        <is>
          <t>• 내가 만드는 것(교육 · 근로자 · 문서 · 위원 등)은 이름 앞에 내 이름을 붙입니다 — 예: «김유석_집합교육». 그래야 내 것을 찾기 쉽습니다.</t>
        </is>
      </c>
    </row>
    <row r="45" ht="21" customHeight="1">
      <c r="A45" s="10" t="inlineStr">
        <is>
          <t>• 다른 사람이 만든 것은 고치거나 지우지 않습니다. QA박안전5 계정에는 남의 것도 보이는데, 정상입니다.</t>
        </is>
      </c>
    </row>
    <row r="46" ht="21" customHeight="1">
      <c r="A4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48" ht="24" customHeight="1">
      <c r="A48" s="9" t="inlineStr">
        <is>
          <t>알아 두면 좋은 것 (결함이 아닙니다)</t>
        </is>
      </c>
    </row>
    <row r="49" ht="21" customHeight="1">
      <c r="A49" s="10" t="inlineStr">
        <is>
          <t>• 기한·D-day는 서버의 오늘 날짜 기준입니다.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52" ht="21" customHeight="1">
      <c r="A5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53" ht="21" customHeight="1">
      <c r="A53" s="10" t="inlineStr">
        <is>
          <t>• 로그인은 30분이 지나면 끊깁니다(작업 중이어도). 다시 로그인하고 이어서 합니다.</t>
        </is>
      </c>
    </row>
    <row r="54" ht="21" customHeight="1">
      <c r="A54" s="10" t="inlineStr">
        <is>
          <t>• 독촉·재촉 알림은 실제 직원에게 가고 되돌릴 수 없습니다. 내 부서 건만 1건씩 누릅니다.</t>
        </is>
      </c>
    </row>
    <row r="55" ht="21" customHeight="1">
      <c r="A55" s="10" t="inlineStr">
        <is>
          <t>• 과장·팀장이 담당자를 지정하는 흐름과 «내 할일»의 ‹자기 부서 전체› 보기는 과장 계정이 없어 이번 QA 범위 밖입니다.</t>
        </is>
      </c>
    </row>
    <row r="56" ht="21" customHeight="1">
      <c r="A56" s="10" t="inlineStr">
        <is>
          <t>• 순서를 놓쳤거나 확인할 자료가 서버에 없으면 «확인 불가»를 고르고 메모에 이유를 적습니다.</t>
        </is>
      </c>
    </row>
  </sheetData>
  <mergeCells count="51">
    <mergeCell ref="B9:H9"/>
    <mergeCell ref="A15:H15"/>
    <mergeCell ref="F41:H41"/>
    <mergeCell ref="A51:H51"/>
    <mergeCell ref="B6:H6"/>
    <mergeCell ref="B24:H24"/>
    <mergeCell ref="A49:H49"/>
    <mergeCell ref="D40:E40"/>
    <mergeCell ref="A1:H1"/>
    <mergeCell ref="A45:H45"/>
    <mergeCell ref="B5:H5"/>
    <mergeCell ref="B39:C39"/>
    <mergeCell ref="F38:H38"/>
    <mergeCell ref="B26:H26"/>
    <mergeCell ref="B4:H4"/>
    <mergeCell ref="A16:H16"/>
    <mergeCell ref="A54:H54"/>
    <mergeCell ref="B7:H7"/>
    <mergeCell ref="B25:H25"/>
    <mergeCell ref="A37:H37"/>
    <mergeCell ref="B3:H3"/>
    <mergeCell ref="D41:E41"/>
    <mergeCell ref="F39:H39"/>
    <mergeCell ref="A46:H46"/>
    <mergeCell ref="A18:H18"/>
    <mergeCell ref="B22:H22"/>
    <mergeCell ref="A50:H50"/>
    <mergeCell ref="B38:C38"/>
    <mergeCell ref="A56:H56"/>
    <mergeCell ref="A55:H55"/>
    <mergeCell ref="B27:H27"/>
    <mergeCell ref="B12:H12"/>
    <mergeCell ref="A33:H33"/>
    <mergeCell ref="B11:H11"/>
    <mergeCell ref="B40:C40"/>
    <mergeCell ref="A32:H32"/>
    <mergeCell ref="B23:H23"/>
    <mergeCell ref="A17:H17"/>
    <mergeCell ref="D39:E39"/>
    <mergeCell ref="B8:H8"/>
    <mergeCell ref="A53:H53"/>
    <mergeCell ref="A52:H52"/>
    <mergeCell ref="D38:E38"/>
    <mergeCell ref="F40:H40"/>
    <mergeCell ref="A19:H19"/>
    <mergeCell ref="A44:H44"/>
    <mergeCell ref="B10:H10"/>
    <mergeCell ref="B41:C41"/>
    <mergeCell ref="A31:H31"/>
    <mergeCell ref="B28:H28"/>
    <mergeCell ref="A34:H34"/>
  </mergeCells>
  <dataValidations count="2">
    <dataValidation sqref="B10" showDropDown="0" showInputMessage="0" showErrorMessage="0" allowBlank="1" type="list">
      <formula1>"크롬,엣지,웨일,사파리,파이어폭스,기타"</formula1>
    </dataValidation>
    <dataValidation sqref="B11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시스템 관리 · 김유석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사용자·권한</t>
        </is>
      </c>
      <c r="B5" s="21">
        <f>COUNTA('사용자·권한'!$A$4:$A$8)</f>
        <v>5</v>
      </c>
      <c r="C5" s="21">
        <f>COUNTIF('사용자·권한'!$G$4:$G$8,"성공")</f>
        <v>0</v>
      </c>
      <c r="D5" s="21">
        <f>COUNTIF('사용자·권한'!$G$4:$G$8,"실패")</f>
        <v>0</v>
      </c>
      <c r="E5" s="21">
        <f>COUNTIF('사용자·권한'!$G$4:$G$8,"오류")</f>
        <v>0</v>
      </c>
      <c r="F5" s="21">
        <f>COUNTIF('사용자·권한'!$G$4:$G$8,"보류")</f>
        <v>0</v>
      </c>
      <c r="G5" s="21">
        <f>COUNTIF('사용자·권한'!$G$4:$G$8,"확인 불가")</f>
        <v>0</v>
      </c>
      <c r="H5" s="21">
        <f>COUNTIF('사용자·권한'!$G$4:$G$8,"문의")</f>
        <v>0</v>
      </c>
      <c r="I5" s="21">
        <f>COUNTBLANK('사용자·권한'!$G$4:$G$8)</f>
        <v>5</v>
      </c>
      <c r="J5" s="22">
        <f>IF(B5=0,0,(B5-I5)/B5)</f>
        <v>0</v>
      </c>
    </row>
    <row r="6" ht="22" customHeight="1">
      <c r="A6" s="20" t="inlineStr">
        <is>
          <t>기준정보</t>
        </is>
      </c>
      <c r="B6" s="21">
        <f>COUNTA('기준정보'!$A$4:$A$6)</f>
        <v>3</v>
      </c>
      <c r="C6" s="21">
        <f>COUNTIF('기준정보'!$G$4:$G$6,"성공")</f>
        <v>0</v>
      </c>
      <c r="D6" s="21">
        <f>COUNTIF('기준정보'!$G$4:$G$6,"실패")</f>
        <v>0</v>
      </c>
      <c r="E6" s="21">
        <f>COUNTIF('기준정보'!$G$4:$G$6,"오류")</f>
        <v>0</v>
      </c>
      <c r="F6" s="21">
        <f>COUNTIF('기준정보'!$G$4:$G$6,"보류")</f>
        <v>0</v>
      </c>
      <c r="G6" s="21">
        <f>COUNTIF('기준정보'!$G$4:$G$6,"확인 불가")</f>
        <v>0</v>
      </c>
      <c r="H6" s="21">
        <f>COUNTIF('기준정보'!$G$4:$G$6,"문의")</f>
        <v>0</v>
      </c>
      <c r="I6" s="21">
        <f>COUNTBLANK('기준정보'!$G$4:$G$6)</f>
        <v>3</v>
      </c>
      <c r="J6" s="22">
        <f>IF(B6=0,0,(B6-I6)/B6)</f>
        <v>0</v>
      </c>
    </row>
    <row r="7" ht="22" customHeight="1">
      <c r="A7" s="20" t="inlineStr">
        <is>
          <t>연계·알림</t>
        </is>
      </c>
      <c r="B7" s="21">
        <f>COUNTA('연계·알림'!$A$4:$A$6)</f>
        <v>3</v>
      </c>
      <c r="C7" s="21">
        <f>COUNTIF('연계·알림'!$G$4:$G$6,"성공")</f>
        <v>0</v>
      </c>
      <c r="D7" s="21">
        <f>COUNTIF('연계·알림'!$G$4:$G$6,"실패")</f>
        <v>0</v>
      </c>
      <c r="E7" s="21">
        <f>COUNTIF('연계·알림'!$G$4:$G$6,"오류")</f>
        <v>0</v>
      </c>
      <c r="F7" s="21">
        <f>COUNTIF('연계·알림'!$G$4:$G$6,"보류")</f>
        <v>0</v>
      </c>
      <c r="G7" s="21">
        <f>COUNTIF('연계·알림'!$G$4:$G$6,"확인 불가")</f>
        <v>0</v>
      </c>
      <c r="H7" s="21">
        <f>COUNTIF('연계·알림'!$G$4:$G$6,"문의")</f>
        <v>0</v>
      </c>
      <c r="I7" s="21">
        <f>COUNTBLANK('연계·알림'!$G$4:$G$6)</f>
        <v>3</v>
      </c>
      <c r="J7" s="22">
        <f>IF(B7=0,0,(B7-I7)/B7)</f>
        <v>0</v>
      </c>
    </row>
    <row r="8" ht="24" customHeight="1">
      <c r="A8" s="23" t="inlineStr">
        <is>
          <t>합계</t>
        </is>
      </c>
      <c r="B8" s="24">
        <f>SUM(B5:B7)</f>
        <v>11</v>
      </c>
      <c r="C8" s="24">
        <f>SUM(C5:C7)</f>
        <v>0</v>
      </c>
      <c r="D8" s="24">
        <f>SUM(D5:D7)</f>
        <v>0</v>
      </c>
      <c r="E8" s="24">
        <f>SUM(E5:E7)</f>
        <v>0</v>
      </c>
      <c r="F8" s="24">
        <f>SUM(F5:F7)</f>
        <v>0</v>
      </c>
      <c r="G8" s="24">
        <f>SUM(G5:G7)</f>
        <v>0</v>
      </c>
      <c r="H8" s="24">
        <f>SUM(H5:H7)</f>
        <v>0</v>
      </c>
      <c r="I8" s="24">
        <f>SUM(I5:I7)</f>
        <v>11</v>
      </c>
      <c r="J8" s="25">
        <f>IF(B8=0,0,(B8-I8)/B8)</f>
        <v>0</v>
      </c>
    </row>
  </sheetData>
  <mergeCells count="2">
    <mergeCell ref="A1:J1"/>
    <mergeCell ref="A2:J2"/>
  </mergeCells>
  <conditionalFormatting sqref="J5:J8">
    <cfRule type="dataBar" priority="1">
      <dataBar showValue="1">
        <cfvo type="num" val="0"/>
        <cfvo type="num" val="1"/>
        <color rgb="0063BE7B"/>
      </dataBar>
    </cfRule>
  </conditionalFormatting>
  <conditionalFormatting sqref="D5:D8">
    <cfRule type="cellIs" priority="2" operator="greaterThan" dxfId="0">
      <formula>0</formula>
    </cfRule>
  </conditionalFormatting>
  <conditionalFormatting sqref="E5:E8">
    <cfRule type="cellIs" priority="3" operator="greaterThan" dxfId="0">
      <formula>0</formula>
    </cfRule>
  </conditionalFormatting>
  <conditionalFormatting sqref="H5:H8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8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시스템 관리 — 사용자·권한</t>
        </is>
      </c>
    </row>
    <row r="2" ht="24" customHeight="1">
      <c r="A2" s="26" t="inlineStr">
        <is>
          <t>🗂 QA시스템관리 계정으로 합니다. 내가 만든 등급 말고는 저장하지 않습니다.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66" customHeight="1">
      <c r="A4" s="28" t="n">
        <v>1</v>
      </c>
      <c r="B4" s="3" t="inlineStr">
        <is>
          <t>QA시스템관리(시스템 관리) → QA하정수5(담당 공무원)</t>
        </is>
      </c>
      <c r="C4" s="3" t="inlineStr">
        <is>
          <t>시스템 관리 (8개 화면)</t>
        </is>
      </c>
      <c r="D4" s="17" t="inlineStr">
        <is>
          <t>누구에게 메뉴가 보이나</t>
        </is>
      </c>
      <c r="E4" s="3" t="inlineStr">
        <is>
          <t>① QA박안전5 창에서 맨 위 «시스템 관리»를 누르고 왼쪽 메뉴 8개를 차례로 연다
② QA하정수5 창에서 맨 위 메뉴와 [전체메뉴]를 본다</t>
        </is>
      </c>
      <c r="F4" s="3" t="inlineStr">
        <is>
          <t>QA박안전5 계정: 8개 화면이 오류 없이 뜬다. QA하정수5 계정: «시스템 관리»가 맨 위 메뉴에도 전체메뉴에도 없다</t>
        </is>
      </c>
      <c r="G4" s="29" t="n"/>
      <c r="H4" s="7" t="n"/>
      <c r="I4" s="7" t="n"/>
    </row>
    <row r="5" ht="66" customHeight="1">
      <c r="A5" s="28" t="n">
        <v>2</v>
      </c>
      <c r="B5" s="3" t="inlineStr">
        <is>
          <t>QA시스템관리(시스템 관리)</t>
        </is>
      </c>
      <c r="C5" s="3" t="inlineStr">
        <is>
          <t>시스템 관리 &gt; 사용자 관리</t>
        </is>
      </c>
      <c r="D5" s="17" t="inlineStr">
        <is>
          <t>사용자 목록</t>
        </is>
      </c>
      <c r="E5" s="3" t="inlineStr">
        <is>
          <t>① 사용자 목록 검색창에 내 부서 이름(보건소)을 치고 [검색]
② 검색을 지우고 내 계정(QA박안전5) 줄의 [접근 메뉴]</t>
        </is>
      </c>
      <c r="F5" s="3" t="inlineStr">
        <is>
          <t>검색대로 걸러져 QA하정수5 계정이 나온다. [접근 메뉴] 창에 «접근 가능 …개 / 전체 …개 메뉴»와 메뉴별 보기·수정·근거가 보인다</t>
        </is>
      </c>
      <c r="G5" s="29" t="n"/>
      <c r="H5" s="7" t="n"/>
      <c r="I5" s="7" t="n"/>
    </row>
    <row r="6" ht="96" customHeight="1">
      <c r="A6" s="28" t="n">
        <v>3</v>
      </c>
      <c r="B6" s="30" t="inlineStr">
        <is>
          <t>QA시스템관리(시스템 관리)</t>
        </is>
      </c>
      <c r="C6" s="30" t="inlineStr">
        <is>
          <t>시스템 관리 &gt; 사용자 관리</t>
        </is>
      </c>
      <c r="D6" s="17" t="inlineStr">
        <is>
          <t>조직 직접 등록</t>
        </is>
      </c>
      <c r="E6" s="3" t="inlineStr">
        <is>
          <t>① [+ 부서 직접 등록] → 빈 채로 [저장]
② 부서명 «김유석_QA조직», 유형 «임시조직»으로 [저장]
③ 그 줄의 [수정] → 부서명을 «김유석_QA조직2»로 [저장]
④ 그 줄의 [사용 중지]</t>
        </is>
      </c>
      <c r="F6" s="3" t="inlineStr">
        <is>
          <t>빈 채로는 «부서명을 입력하세요.» 저장하면 «조직을 직접 등록했습니다.», 수정하면 «조직 정보를 수정했습니다.»가 뜨고 표에 반영된다. 사용 중지하면 «참조를 보존하고 조직을 사용 중지했습니다.»와 상태 «사용 중지». 출처가 «연계»인 줄에는 «읽기 전용»만 있다</t>
        </is>
      </c>
      <c r="G6" s="29" t="n"/>
      <c r="H6" s="7" t="n"/>
      <c r="I6" s="7" t="n"/>
    </row>
    <row r="7" ht="111" customHeight="1">
      <c r="A7" s="28" t="n">
        <v>4</v>
      </c>
      <c r="B7" s="30" t="inlineStr">
        <is>
          <t>QA시스템관리(시스템 관리)</t>
        </is>
      </c>
      <c r="C7" s="3" t="inlineStr">
        <is>
          <t>시스템 관리 &gt; 권한 관리</t>
        </is>
      </c>
      <c r="D7" s="17" t="inlineStr">
        <is>
          <t>권한 등급</t>
        </is>
      </c>
      <c r="E7" s="3" t="inlineStr">
        <is>
          <t>① 왼쪽 등급을 하나씩 눌러 본다(바꾸지 않는다)
② [+ 등급 추가] → 등급명을 비운 채 [저장]
③ 등급명 «김유석_QA등급»으로 [저장] (전체 권한·구성원 자동은 체크하지 않고 구성원도 넣지 않는다)
④ 만든 등급의 [등급 삭제] → 확인</t>
        </is>
      </c>
      <c r="F7" s="3" t="inlineStr">
        <is>
          <t>등급마다 구성원·적용 메뉴가 보이고, «시스템 관리자»에는 «보호» 표시가 있고 [등급 삭제]가 없다. 빈 등급명은 «등급명을 입력하세요.» 저장하면 «등급이 추가되었습니다.», 삭제하면 «등급이 삭제되었습니다.»가 뜨고 목록에서 사라진다</t>
        </is>
      </c>
      <c r="G7" s="29" t="n"/>
      <c r="H7" s="7" t="n"/>
      <c r="I7" s="7" t="n"/>
    </row>
    <row r="8" ht="96" customHeight="1">
      <c r="A8" s="28" t="n">
        <v>5</v>
      </c>
      <c r="B8" s="30" t="inlineStr">
        <is>
          <t>QA시스템관리(시스템 관리)</t>
        </is>
      </c>
      <c r="C8" s="3" t="inlineStr">
        <is>
          <t>시스템 관리 &gt; 메뉴 관리</t>
        </is>
      </c>
      <c r="D8" s="17" t="inlineStr">
        <is>
          <t>메뉴 트리</t>
        </is>
      </c>
      <c r="E8" s="3" t="inlineStr">
        <is>
          <t>① 왼쪽 메뉴 몇 개를 눌러 오른쪽 접근 권한을 본다
② 시스템 관리 메뉴 하나를 누른다
③ 메뉴명 검색창에 «문서» ([저장]·사용 여부 스위치·[다른 메뉴 설정 복사]는 누르지 않는다)</t>
        </is>
      </c>
      <c r="F8" s="3" t="inlineStr">
        <is>
          <t>메뉴가 대메뉴 순서대로 보이고 누르면 권한 목록이 나온다. 시스템 관리 메뉴는 시스템 관리자만 접근한다는 안내가 나온다. 메뉴에서 뺀 화면(예: 문서 상세)에는 «메뉴 제외» 표시가 붙어 있다</t>
        </is>
      </c>
      <c r="G8" s="29" t="n"/>
      <c r="H8" s="7" t="n"/>
      <c r="I8" s="7" t="n"/>
    </row>
  </sheetData>
  <autoFilter ref="A3:I8"/>
  <mergeCells count="2">
    <mergeCell ref="A1:I1"/>
    <mergeCell ref="A2:I2"/>
  </mergeCells>
  <conditionalFormatting sqref="G4:G8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8">
    <cfRule type="expression" priority="7" dxfId="7">
      <formula>AND(OR($G4="실패",$G4="오류",$G4="문의"),$H4="")</formula>
    </cfRule>
  </conditionalFormatting>
  <dataValidations count="1">
    <dataValidation sqref="G4:G8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6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시스템 관리 — 기준정보</t>
        </is>
      </c>
    </row>
    <row r="2" ht="24" customHeight="1">
      <c r="A2" s="26" t="inlineStr">
        <is>
          <t>🗂 사업장·양식은 «김유석_…»으로 만든 것만 바꿉니다. 사업장 사용 중지는 정한 시간에 하고 바로 되돌립니다(모두의 화면이 바뀝니다).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111" customHeight="1">
      <c r="A4" s="28" t="n">
        <v>6</v>
      </c>
      <c r="B4" s="3" t="inlineStr">
        <is>
          <t>QA시스템관리(시스템 관리)</t>
        </is>
      </c>
      <c r="C4" s="3" t="inlineStr">
        <is>
          <t>시스템 관리 &gt; 사업장 관리</t>
        </is>
      </c>
      <c r="D4" s="17" t="inlineStr">
        <is>
          <t>사업장 등록·편집·사용 중지</t>
        </is>
      </c>
      <c r="E4" s="3" t="inlineStr">
        <is>
          <t>① [＋ 사업장 등록] → 사업장명을 비운 채 [등록]
② 관할 부서는 내 부서(보건소), 사업장명 «김유석_QA사업장»으로 [등록]
③ 그 줄의 [편집] → 비고를 적고 [저장]
④ 그 줄의 [사용 중지] → 사유 없이 [사용 중지] → 사유를 적고 [사용 중지]</t>
        </is>
      </c>
      <c r="F4" s="3" t="inlineStr">
        <is>
          <t>빈 칸이면 «사업장명을 입력하세요.» «사용 중지 사유를 입력하세요.»로 막힌다. 등록·저장하면 «사업장이 등록되었습니다.» «사업장이 저장되었습니다.» 사용 중지하면 «사업장이 비활성화되었습니다.»가 뜨고 그 줄에 사유·처리자가 남는다</t>
        </is>
      </c>
      <c r="G4" s="29" t="n"/>
      <c r="H4" s="7" t="n"/>
      <c r="I4" s="7" t="n"/>
    </row>
    <row r="5" ht="66" customHeight="1">
      <c r="A5" s="28" t="n">
        <v>7</v>
      </c>
      <c r="B5" s="30" t="inlineStr">
        <is>
          <t>QA시스템관리(시스템 관리)</t>
        </is>
      </c>
      <c r="C5" s="3" t="inlineStr">
        <is>
          <t>시스템 관리 &gt; 프리셋 양식 관리</t>
        </is>
      </c>
      <c r="D5" s="17" t="inlineStr">
        <is>
          <t>양식 편집</t>
        </is>
      </c>
      <c r="E5" s="3" t="inlineStr">
        <is>
          <t>① 목록의 양식 하나에서 [편집]
② [+ 새 양식] → 양식명을 «김유석_양식»으로
③ [+ 필드 추가] → [미리보기] → [닫기]
④ [저장]</t>
        </is>
      </c>
      <c r="F5" s="3" t="inlineStr">
        <is>
          <t>[편집]하면 «…양식을 불러왔습니다»가 뜬다. 미리보기에 추가한 필드가 보인다. [저장]은 «양식 저장은 양식 관리 연계 후 제공됩니다»가 뜨고 목록의 양식은 그대로다</t>
        </is>
      </c>
      <c r="G5" s="29" t="n"/>
      <c r="H5" s="7" t="n"/>
      <c r="I5" s="7" t="n"/>
    </row>
    <row r="6" ht="66" customHeight="1">
      <c r="A6" s="28" t="n">
        <v>8</v>
      </c>
      <c r="B6" s="30" t="inlineStr">
        <is>
          <t>QA시스템관리(시스템 관리)</t>
        </is>
      </c>
      <c r="C6" s="3" t="inlineStr">
        <is>
          <t>시스템 관리 &gt; 법령 관리</t>
        </is>
      </c>
      <c r="D6" s="17" t="inlineStr">
        <is>
          <t>조문 찾기</t>
        </is>
      </c>
      <c r="E6" s="3" t="inlineStr">
        <is>
          <t>① «자주 찾는 질문» 하나를 누른다
② 검색창에 «교육 시간»
③ [메뉴 근거 매핑] 탭 → [변경 이력] 탭 ([매핑 재검토 요청]은 누르지 않는다)</t>
        </is>
      </c>
      <c r="F6" s="3" t="inlineStr">
        <is>
          <t>조문 원문과 «쉬운 설명 — 요약 — 법적 효력은 원문에 있습니다» 설명이 보이고 검색 결과가 나온다. 매핑 탭에는 편집·저장 버튼이 없다</t>
        </is>
      </c>
      <c r="G6" s="29" t="n"/>
      <c r="H6" s="7" t="n"/>
      <c r="I6" s="7" t="n"/>
    </row>
  </sheetData>
  <autoFilter ref="A3:I6"/>
  <mergeCells count="2">
    <mergeCell ref="A1:I1"/>
    <mergeCell ref="A2:I2"/>
  </mergeCells>
  <conditionalFormatting sqref="G4:G6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6">
    <cfRule type="expression" priority="7" dxfId="7">
      <formula>AND(OR($G4="실패",$G4="오류",$G4="문의"),$H4="")</formula>
    </cfRule>
  </conditionalFormatting>
  <dataValidations count="1">
    <dataValidation sqref="G4:G6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6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시스템 관리 — 연계·알림</t>
        </is>
      </c>
    </row>
    <row r="2" ht="24" customHeight="1">
      <c r="A2" s="26" t="inlineStr">
        <is>
          <t>🗂 바꾼 상태·체크는 같은 줄 안에서 원래대로 돌려 둡니다. 준비 목록 창의 [상태 초기화]는 누르지 않습니다.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111" customHeight="1">
      <c r="A4" s="28" t="n">
        <v>9</v>
      </c>
      <c r="B4" s="3" t="inlineStr">
        <is>
          <t>QA시스템관리(시스템 관리)</t>
        </is>
      </c>
      <c r="C4" s="3" t="inlineStr">
        <is>
          <t>시스템 관리 &gt; 연계 관리</t>
        </is>
      </c>
      <c r="D4" s="17" t="inlineStr">
        <is>
          <t>외부 자료 준비 상태</t>
        </is>
      </c>
      <c r="E4" s="3" t="inlineStr">
        <is>
          <t>① [준비 목록 보기]
② 목록 끝쪽에서 «수신 완료»가 아닌 항목 하나를 골라(다른 사람과 겹치지 않게) 지금 상태를 기억하고 «수신 완료»를 누른다
③ [닫기] → 다시 [준비 목록 보기]
④ 그 항목을 원래 상태로 되돌린다(아무것도 안 눌려 있었으면 맨 앞 칸)</t>
        </is>
      </c>
      <c r="F4" s="3" t="inlineStr">
        <is>
          <t>누르자마자 그 항목에 «수신 완료» 표시가 붙는다. 다시 열어도 그대로다. ④에서 되돌리면 그 항목이 원래 상태로 돌아간다(위쪽 숫자는 다른 사람 작업으로 달라질 수 있다)</t>
        </is>
      </c>
      <c r="G4" s="29" t="n"/>
      <c r="H4" s="7" t="n"/>
      <c r="I4" s="7" t="n"/>
    </row>
    <row r="5" ht="66" customHeight="1">
      <c r="A5" s="28" t="n">
        <v>10</v>
      </c>
      <c r="B5" s="30" t="inlineStr">
        <is>
          <t>QA시스템관리(시스템 관리)</t>
        </is>
      </c>
      <c r="C5" s="3" t="inlineStr">
        <is>
          <t>시스템 관리 &gt; 알림 관리</t>
        </is>
      </c>
      <c r="D5" s="17" t="inlineStr">
        <is>
          <t>알림 규칙 보기</t>
        </is>
      </c>
      <c r="E5" s="3" t="inlineStr">
        <is>
          <t>① 규칙 하나를 열어 채널 칸(화면에 있는 이름 그대로)과 수신자를 본다
② 바꾸지 않고 닫는다
③ 아래 발송 이력을 본다</t>
        </is>
      </c>
      <c r="F5" s="3" t="inlineStr">
        <is>
          <t>규칙마다 채널 켜짐·꺼짐과 수신자가 보인다. 켜는 쪽으로는 바꾸지 않는다(실제 직원에게 발송되고 취소되지 않는다)</t>
        </is>
      </c>
      <c r="G5" s="29" t="n"/>
      <c r="H5" s="7" t="n"/>
      <c r="I5" s="7" t="n"/>
    </row>
    <row r="6" ht="81" customHeight="1">
      <c r="A6" s="28" t="n">
        <v>11</v>
      </c>
      <c r="B6" s="30" t="inlineStr">
        <is>
          <t>QA시스템관리(시스템 관리)</t>
        </is>
      </c>
      <c r="C6" s="3" t="inlineStr">
        <is>
          <t>관리자 화면 결재 대행</t>
        </is>
      </c>
      <c r="D6" s="17" t="inlineStr">
        <is>
          <t>공문 반려</t>
        </is>
      </c>
      <c r="E6" s="3" t="inlineStr">
        <is>
          <t>① 결재 대행 화면에서 교육 파일에서 내가 상신한 «김유석_집합교육» 공문을 찾는다
② 사유 없이 [반려]
③ 사유를 넣고 [반려]
④ QA박안전5 창에서 그 교육을 새로고침한다</t>
        </is>
      </c>
      <c r="F6" s="3" t="inlineStr">
        <is>
          <t>사유 없이는 막힌다. 반려하면 교육 잠금이 풀리고 [공문 기안]으로 다시 기안할 수 있다</t>
        </is>
      </c>
      <c r="G6" s="29" t="n"/>
      <c r="H6" s="7" t="n"/>
      <c r="I6" s="7" t="n"/>
    </row>
  </sheetData>
  <autoFilter ref="A3:I6"/>
  <mergeCells count="2">
    <mergeCell ref="A1:I1"/>
    <mergeCell ref="A2:I2"/>
  </mergeCells>
  <conditionalFormatting sqref="G4:G6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6">
    <cfRule type="expression" priority="7" dxfId="7">
      <formula>AND(OR($G4="실패",$G4="오류",$G4="문의"),$H4="")</formula>
    </cfRule>
  </conditionalFormatting>
  <dataValidations count="1">
    <dataValidation sqref="G4:G6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시스템 관리</t>
        </is>
      </c>
    </row>
    <row r="3">
      <c r="A3" t="inlineStr">
        <is>
          <t>담당자</t>
        </is>
      </c>
      <c r="B3" t="inlineStr">
        <is>
          <t>김유석</t>
        </is>
      </c>
    </row>
    <row r="4">
      <c r="A4" t="inlineStr">
        <is>
          <t>파일 코드</t>
        </is>
      </c>
      <c r="B4" t="inlineStr">
        <is>
          <t>AD</t>
        </is>
      </c>
    </row>
    <row r="5">
      <c r="A5" t="inlineStr">
        <is>
          <t>종류</t>
        </is>
      </c>
      <c r="B5" t="inlineStr">
        <is>
          <t>스모크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2026-09-30T00:30:18Z</dcterms:created>
  <dcterms:modified xmlns:dcterms="http://purl.org/dc/terms/" xmlns:xsi="http://www.w3.org/2001/XMLSchema-instance" xsi:type="dcterms:W3CDTF">2026-09-30T00:30:18Z</dcterms:modified>
</cp:coreProperties>
</file>