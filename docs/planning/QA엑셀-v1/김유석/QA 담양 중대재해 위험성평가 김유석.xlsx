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정기평가 만들기" sheetId="3" state="visible" r:id="rId3"/>
    <sheet xmlns:r="http://schemas.openxmlformats.org/officeDocument/2006/relationships" name="2 설문조사표·보고서" sheetId="4" state="visible" r:id="rId4"/>
    <sheet xmlns:r="http://schemas.openxmlformats.org/officeDocument/2006/relationships" name="3 전달·조치·확인" sheetId="5" state="visible" r:id="rId5"/>
    <sheet xmlns:r="http://schemas.openxmlformats.org/officeDocument/2006/relationships" name="4 공문·결재" sheetId="6" state="visible" r:id="rId6"/>
    <sheet xmlns:r="http://schemas.openxmlformats.org/officeDocument/2006/relationships" name="5 수시평가" sheetId="7" state="visible" r:id="rId7"/>
    <sheet xmlns:r="http://schemas.openxmlformats.org/officeDocument/2006/relationships" name="_정보" sheetId="8" state="hidden" r:id="rId8"/>
  </sheets>
  <definedNames>
    <definedName name="_xlnm._FilterDatabase" localSheetId="2" hidden="1">'1 정기평가 만들기'!$A$3:$I$11</definedName>
    <definedName name="_xlnm.Print_Titles" localSheetId="2">'1 정기평가 만들기'!$3:$3</definedName>
    <definedName name="_xlnm._FilterDatabase" localSheetId="3" hidden="1">'2 설문조사표·보고서'!$A$3:$I$9</definedName>
    <definedName name="_xlnm.Print_Titles" localSheetId="3">'2 설문조사표·보고서'!$3:$3</definedName>
    <definedName name="_xlnm._FilterDatabase" localSheetId="4" hidden="1">'3 전달·조치·확인'!$A$3:$I$16</definedName>
    <definedName name="_xlnm.Print_Titles" localSheetId="4">'3 전달·조치·확인'!$3:$3</definedName>
    <definedName name="_xlnm._FilterDatabase" localSheetId="5" hidden="1">'4 공문·결재'!$A$3:$I$8</definedName>
    <definedName name="_xlnm.Print_Titles" localSheetId="5">'4 공문·결재'!$3:$3</definedName>
    <definedName name="_xlnm._FilterDatabase" localSheetId="6" hidden="1">'5 수시평가'!$A$3:$I$15</definedName>
    <definedName name="_xlnm.Print_Titles" localSheetId="6">'5 수시평가'!$3:$3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위험성평가 · 김유석</t>
        </is>
      </c>
    </row>
    <row r="3" ht="22" customHeight="1">
      <c r="A3" s="2" t="inlineStr">
        <is>
          <t>메뉴</t>
        </is>
      </c>
      <c r="B3" s="3" t="inlineStr">
        <is>
          <t>위험성평가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김유석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QA박안전5 (재난안전과 담당자) · QA하정수5 (내 부서 보건소 담당 공무원)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정기평가 진행자</t>
        </is>
      </c>
      <c r="B6" s="3" t="inlineStr">
        <is>
          <t>이혜린 — 진행자만 하는 줄 10개는 진행자 파일에만 있어서 번호가 건너뜁니다</t>
        </is>
      </c>
      <c r="C6" s="4" t="n"/>
      <c r="D6" s="4" t="n"/>
      <c r="E6" s="4" t="n"/>
      <c r="F6" s="4" t="n"/>
      <c r="G6" s="4" t="n"/>
      <c r="H6" s="5" t="n"/>
    </row>
    <row r="7" ht="36" customHeight="1">
      <c r="A7" s="2" t="inlineStr">
        <is>
          <t>이 파일</t>
        </is>
      </c>
      <c r="B7" s="3" t="inlineStr">
        <is>
          <t>정기 위험성평가 1건을 6명이 함께 진행하고(만들기 → 내 부서 제출·조치 → 재난안전과 확인 → 공문), 수시 위험성평가는 각자 합니다. 개발자에게 받은 계정 두 개(QA박안전5 · QA하정수5)만 씁니다.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줄 수</t>
        </is>
      </c>
      <c r="B8" s="3" t="inlineStr">
        <is>
          <t>44줄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시트</t>
        </is>
      </c>
      <c r="B9" s="3" t="inlineStr">
        <is>
          <t>1 정기평가 만들기 → 2 설문조사표·보고서 → 3 전달·조치·확인 → 4 공문·결재 → 5 수시평가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테스트 주소</t>
        </is>
      </c>
      <c r="B10" s="6" t="inlineStr">
        <is>
          <t>https://safety.damyang.go.kr/login</t>
        </is>
      </c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브라우저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기기</t>
        </is>
      </c>
      <c r="B12" s="7" t="n"/>
      <c r="C12" s="4" t="n"/>
      <c r="D12" s="4" t="n"/>
      <c r="E12" s="4" t="n"/>
      <c r="F12" s="4" t="n"/>
      <c r="G12" s="4" t="n"/>
      <c r="H12" s="5" t="n"/>
    </row>
    <row r="13" ht="22" customHeight="1">
      <c r="A13" s="2" t="inlineStr">
        <is>
          <t>시작한 날</t>
        </is>
      </c>
      <c r="B13" s="8" t="n"/>
      <c r="C13" s="4" t="n"/>
      <c r="D13" s="4" t="n"/>
      <c r="E13" s="4" t="n"/>
      <c r="F13" s="4" t="n"/>
      <c r="G13" s="4" t="n"/>
      <c r="H13" s="5" t="n"/>
    </row>
    <row r="15" ht="24" customHeight="1">
      <c r="A15" s="9" t="inlineStr">
        <is>
          <t>이렇게 하면 됩니다</t>
        </is>
      </c>
    </row>
    <row r="16" ht="36" customHeight="1">
      <c r="A16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7" ht="36" customHeight="1">
      <c r="A17" s="10" t="inlineStr">
        <is>
          <t>② 내 계정 두 개를 창 두 개에 따로 로그인해 둡니다 — 일반 창에는 QA박안전5(재난안전과), 시크릿 창(Ctrl + Shift + N · 맥 Cmd + Shift + N)에는 QA하정수5(담당 공무원). 두 창을 나란히 두면 계정을 바꿀 필요가 없습니다.</t>
        </is>
      </c>
    </row>
    <row r="18" ht="21" customHeight="1">
      <c r="A18" s="10" t="inlineStr">
        <is>
          <t>③ «누구로» 칸에 적힌 계정의 창에서 «어디서» 메뉴로 가서 «해 볼 것»대로 눌러 봅니다.</t>
        </is>
      </c>
    </row>
    <row r="19" ht="21" customHeight="1">
      <c r="A19" s="10" t="inlineStr">
        <is>
          <t>④ «이러면 성공»과 같으면 «결과» 칸에서 성공을, 다르면 실패·오류 등을 고릅니다.</t>
        </is>
      </c>
    </row>
    <row r="20" ht="21" customHeight="1">
      <c r="A20" s="10" t="inlineStr">
        <is>
          <t>⑤ 실패·오류·문의면 «메모»에 한 줄 적고, 필요하면 «사진» 칸에 화면 캡처를 붙여넣습니다.</t>
        </is>
      </c>
    </row>
    <row r="22" ht="24" customHeight="1">
      <c r="A22" s="9" t="inlineStr">
        <is>
          <t>정기평가는 6명이 함께 — 진행 순서</t>
        </is>
      </c>
    </row>
    <row r="23" ht="36" customHeight="1">
      <c r="A23" s="10" t="inlineStr">
        <is>
          <t>• 정기평가는 한 해에 1건만 만들 수 있어서 6명이 한 건을 함께 진행합니다. 평가 전체에 한 번만 하는 일(만들기·양식·보고서·전달·공문)은 진행자(이혜린)가 하고, 나머지는 각자 내 부서(보건소) 일을 합니다.</t>
        </is>
      </c>
    </row>
    <row r="24" ht="36" customHeight="1">
      <c r="A24" s="10" t="inlineStr">
        <is>
          <t>• 대상 부서: 물순환사업소 · 건설과 · 공공시설사업소 · 담양읍 · 보건소 · 문화체육과 · 환경과 (7개). 마지막 부서(환경과)에는 담당 공무원 계정이 없어서 진행자가 대신 처리합니다.</t>
        </is>
      </c>
    </row>
    <row r="25" ht="21" customHeight="1">
      <c r="A25" s="10" t="inlineStr">
        <is>
          <t>• 아래 신호가 단체방에 올라오면 다음으로 넘어갑니다. 신호를 기다리지 않는 줄은 먼저 해도 됩니다.</t>
        </is>
      </c>
    </row>
    <row r="26" ht="22" customHeight="1">
      <c r="A26" s="2" t="inlineStr">
        <is>
          <t>순서</t>
        </is>
      </c>
      <c r="B26" s="2" t="inlineStr">
        <is>
          <t>누가</t>
        </is>
      </c>
      <c r="C26" s="5" t="n"/>
      <c r="D26" s="2" t="inlineStr">
        <is>
          <t>할 일</t>
        </is>
      </c>
      <c r="E26" s="5" t="n"/>
      <c r="F26" s="2" t="inlineStr">
        <is>
          <t>끝나면 단체방에</t>
        </is>
      </c>
      <c r="G26" s="4" t="n"/>
      <c r="H26" s="5" t="n"/>
    </row>
    <row r="27" ht="36" customHeight="1">
      <c r="A27" s="11" t="inlineStr">
        <is>
          <t>1</t>
        </is>
      </c>
      <c r="B27" s="3" t="inlineStr">
        <is>
          <t>모두</t>
        </is>
      </c>
      <c r="C27" s="5" t="n"/>
      <c r="D27" s="3" t="inlineStr">
        <is>
          <t>1번 시트 1~6번 (만들기 창은 [취소]로 닫기)</t>
        </is>
      </c>
      <c r="E27" s="5" t="n"/>
      <c r="F27" s="3" t="inlineStr">
        <is>
          <t>«만들기 전 확인 끝»</t>
        </is>
      </c>
      <c r="G27" s="4" t="n"/>
      <c r="H27" s="5" t="n"/>
    </row>
    <row r="28" ht="22" customHeight="1">
      <c r="A28" s="11" t="inlineStr">
        <is>
          <t>2</t>
        </is>
      </c>
      <c r="B28" s="3" t="inlineStr">
        <is>
          <t>진행자</t>
        </is>
      </c>
      <c r="C28" s="5" t="n"/>
      <c r="D28" s="3" t="inlineStr">
        <is>
          <t>평가 만들기</t>
        </is>
      </c>
      <c r="E28" s="5" t="n"/>
      <c r="F28" s="3" t="inlineStr">
        <is>
          <t>«평가 만듦»</t>
        </is>
      </c>
      <c r="G28" s="4" t="n"/>
      <c r="H28" s="5" t="n"/>
    </row>
    <row r="29" ht="22" customHeight="1">
      <c r="A29" s="11" t="inlineStr">
        <is>
          <t>3</t>
        </is>
      </c>
      <c r="B29" s="3" t="inlineStr">
        <is>
          <t>진행자</t>
        </is>
      </c>
      <c r="C29" s="5" t="n"/>
      <c r="D29" s="3" t="inlineStr">
        <is>
          <t>설문조사표 양식 올리기</t>
        </is>
      </c>
      <c r="E29" s="5" t="n"/>
      <c r="F29" s="3" t="inlineStr">
        <is>
          <t>«양식 올림»</t>
        </is>
      </c>
      <c r="G29" s="4" t="n"/>
      <c r="H29" s="5" t="n"/>
    </row>
    <row r="30" ht="22" customHeight="1">
      <c r="A30" s="11" t="inlineStr">
        <is>
          <t>4</t>
        </is>
      </c>
      <c r="B30" s="3" t="inlineStr">
        <is>
          <t>모두</t>
        </is>
      </c>
      <c r="C30" s="5" t="n"/>
      <c r="D30" s="3" t="inlineStr">
        <is>
          <t>내 부서 작성본 제출</t>
        </is>
      </c>
      <c r="E30" s="5" t="n"/>
      <c r="F30" s="3" t="inlineStr">
        <is>
          <t>«제출 끝»</t>
        </is>
      </c>
      <c r="G30" s="4" t="n"/>
      <c r="H30" s="5" t="n"/>
    </row>
    <row r="31" ht="22" customHeight="1">
      <c r="A31" s="11" t="inlineStr">
        <is>
          <t>5</t>
        </is>
      </c>
      <c r="B31" s="3" t="inlineStr">
        <is>
          <t>진행자</t>
        </is>
      </c>
      <c r="C31" s="5" t="n"/>
      <c r="D31" s="3" t="inlineStr">
        <is>
          <t>보고서 올리기</t>
        </is>
      </c>
      <c r="E31" s="5" t="n"/>
      <c r="F31" s="3" t="inlineStr">
        <is>
          <t>«보고서 올림»</t>
        </is>
      </c>
      <c r="G31" s="4" t="n"/>
      <c r="H31" s="5" t="n"/>
    </row>
    <row r="32" ht="22" customHeight="1">
      <c r="A32" s="11" t="inlineStr">
        <is>
          <t>6</t>
        </is>
      </c>
      <c r="B32" s="3" t="inlineStr">
        <is>
          <t>모두</t>
        </is>
      </c>
      <c r="C32" s="5" t="n"/>
      <c r="D32" s="3" t="inlineStr">
        <is>
          <t>내 부서 개선조치 적기</t>
        </is>
      </c>
      <c r="E32" s="5" t="n"/>
      <c r="F32" s="3" t="inlineStr">
        <is>
          <t>«개선조치 적음»</t>
        </is>
      </c>
      <c r="G32" s="4" t="n"/>
      <c r="H32" s="5" t="n"/>
    </row>
    <row r="33" ht="22" customHeight="1">
      <c r="A33" s="11" t="inlineStr">
        <is>
          <t>7</t>
        </is>
      </c>
      <c r="B33" s="3" t="inlineStr">
        <is>
          <t>진행자</t>
        </is>
      </c>
      <c r="C33" s="5" t="n"/>
      <c r="D33" s="3" t="inlineStr">
        <is>
          <t>부서로 전달</t>
        </is>
      </c>
      <c r="E33" s="5" t="n"/>
      <c r="F33" s="3" t="inlineStr">
        <is>
          <t>«전달함»</t>
        </is>
      </c>
      <c r="G33" s="4" t="n"/>
      <c r="H33" s="5" t="n"/>
    </row>
    <row r="34" ht="22" customHeight="1">
      <c r="A34" s="11" t="inlineStr">
        <is>
          <t>8</t>
        </is>
      </c>
      <c r="B34" s="3" t="inlineStr">
        <is>
          <t>모두</t>
        </is>
      </c>
      <c r="C34" s="5" t="n"/>
      <c r="D34" s="3" t="inlineStr">
        <is>
          <t>조치 완료 · 확인 · 반려 · 재제출</t>
        </is>
      </c>
      <c r="E34" s="5" t="n"/>
      <c r="F34" s="3" t="inlineStr">
        <is>
          <t>«확인 끝»</t>
        </is>
      </c>
      <c r="G34" s="4" t="n"/>
      <c r="H34" s="5" t="n"/>
    </row>
    <row r="35" ht="22" customHeight="1">
      <c r="A35" s="11" t="inlineStr">
        <is>
          <t>9</t>
        </is>
      </c>
      <c r="B35" s="3" t="inlineStr">
        <is>
          <t>모두</t>
        </is>
      </c>
      <c r="C35" s="5" t="n"/>
      <c r="D35" s="3" t="inlineStr">
        <is>
          <t>결재선 확인 (상신하지 않기)</t>
        </is>
      </c>
      <c r="E35" s="5" t="n"/>
      <c r="F35" s="3" t="inlineStr">
        <is>
          <t>«결재선 확인 끝»</t>
        </is>
      </c>
      <c r="G35" s="4" t="n"/>
      <c r="H35" s="5" t="n"/>
    </row>
    <row r="36" ht="22" customHeight="1">
      <c r="A36" s="11" t="inlineStr">
        <is>
          <t>10</t>
        </is>
      </c>
      <c r="B36" s="3" t="inlineStr">
        <is>
          <t>진행자</t>
        </is>
      </c>
      <c r="C36" s="5" t="n"/>
      <c r="D36" s="3" t="inlineStr">
        <is>
          <t>공문 상신</t>
        </is>
      </c>
      <c r="E36" s="5" t="n"/>
      <c r="F36" s="3" t="inlineStr">
        <is>
          <t>«상신함»</t>
        </is>
      </c>
      <c r="G36" s="4" t="n"/>
      <c r="H36" s="5" t="n"/>
    </row>
    <row r="37" ht="22" customHeight="1">
      <c r="A37" s="11" t="inlineStr">
        <is>
          <t>11</t>
        </is>
      </c>
      <c r="B37" s="3" t="inlineStr">
        <is>
          <t>모두</t>
        </is>
      </c>
      <c r="C37" s="5" t="n"/>
      <c r="D37" s="3" t="inlineStr">
        <is>
          <t>상신 뒤 잠김 확인</t>
        </is>
      </c>
      <c r="E37" s="5" t="n"/>
      <c r="F37" s="3" t="inlineStr">
        <is>
          <t>«잠김 확인 끝»</t>
        </is>
      </c>
      <c r="G37" s="4" t="n"/>
      <c r="H37" s="5" t="n"/>
    </row>
    <row r="38" ht="22" customHeight="1">
      <c r="A38" s="11" t="inlineStr">
        <is>
          <t>12</t>
        </is>
      </c>
      <c r="B38" s="3" t="inlineStr">
        <is>
          <t>진행자</t>
        </is>
      </c>
      <c r="C38" s="5" t="n"/>
      <c r="D38" s="3" t="inlineStr">
        <is>
          <t>결재 상태 확인</t>
        </is>
      </c>
      <c r="E38" s="5" t="n"/>
      <c r="F38" s="3" t="inlineStr">
        <is>
          <t>«결재 완료 확인»</t>
        </is>
      </c>
      <c r="G38" s="4" t="n"/>
      <c r="H38" s="5" t="n"/>
    </row>
    <row r="39" ht="21" customHeight="1">
      <c r="A39" s="10" t="inlineStr">
        <is>
          <t>• 수시평가(5번 시트)는 순서와 상관없이 아무 때나 해도 됩니다.</t>
        </is>
      </c>
    </row>
    <row r="41" ht="24" customHeight="1">
      <c r="A41" s="9" t="inlineStr">
        <is>
          <t>결과 고르는 법</t>
        </is>
      </c>
    </row>
    <row r="42" ht="22" customHeight="1">
      <c r="A42" s="2" t="inlineStr">
        <is>
          <t>결과</t>
        </is>
      </c>
      <c r="B42" s="2" t="inlineStr">
        <is>
          <t>이럴 때 고르세요</t>
        </is>
      </c>
      <c r="C42" s="4" t="n"/>
      <c r="D42" s="4" t="n"/>
      <c r="E42" s="4" t="n"/>
      <c r="F42" s="4" t="n"/>
      <c r="G42" s="4" t="n"/>
      <c r="H42" s="5" t="n"/>
    </row>
    <row r="43" ht="22" customHeight="1">
      <c r="A43" s="12" t="inlineStr">
        <is>
          <t>성공</t>
        </is>
      </c>
      <c r="B43" s="3" t="inlineStr">
        <is>
          <t>«이러면 성공»대로 된다</t>
        </is>
      </c>
      <c r="C43" s="4" t="n"/>
      <c r="D43" s="4" t="n"/>
      <c r="E43" s="4" t="n"/>
      <c r="F43" s="4" t="n"/>
      <c r="G43" s="4" t="n"/>
      <c r="H43" s="5" t="n"/>
    </row>
    <row r="44" ht="22" customHeight="1">
      <c r="A44" s="13" t="inlineStr">
        <is>
          <t>실패</t>
        </is>
      </c>
      <c r="B44" s="3" t="inlineStr">
        <is>
          <t>되긴 하는데 설명과 다르다 — 막혀야 하는데 저장된다, 문구·숫자가 틀리다</t>
        </is>
      </c>
      <c r="C44" s="4" t="n"/>
      <c r="D44" s="4" t="n"/>
      <c r="E44" s="4" t="n"/>
      <c r="F44" s="4" t="n"/>
      <c r="G44" s="4" t="n"/>
      <c r="H44" s="5" t="n"/>
    </row>
    <row r="45" ht="22" customHeight="1">
      <c r="A45" s="14" t="inlineStr">
        <is>
          <t>오류</t>
        </is>
      </c>
      <c r="B45" s="3" t="inlineStr">
        <is>
          <t>화면이 멈추거나 깨진다, 눌러도 아무 일이 없다, 오류 창이 뜬다</t>
        </is>
      </c>
      <c r="C45" s="4" t="n"/>
      <c r="D45" s="4" t="n"/>
      <c r="E45" s="4" t="n"/>
      <c r="F45" s="4" t="n"/>
      <c r="G45" s="4" t="n"/>
      <c r="H45" s="5" t="n"/>
    </row>
    <row r="46" ht="22" customHeight="1">
      <c r="A46" s="15" t="inlineStr">
        <is>
          <t>보류</t>
        </is>
      </c>
      <c r="B46" s="3" t="inlineStr">
        <is>
          <t>앞 단계가 안 돼서 지금은 못 한다 — 메모에 이유</t>
        </is>
      </c>
      <c r="C46" s="4" t="n"/>
      <c r="D46" s="4" t="n"/>
      <c r="E46" s="4" t="n"/>
      <c r="F46" s="4" t="n"/>
      <c r="G46" s="4" t="n"/>
      <c r="H46" s="5" t="n"/>
    </row>
    <row r="47" ht="22" customHeight="1">
      <c r="A47" s="16" t="inlineStr">
        <is>
          <t>확인 불가</t>
        </is>
      </c>
      <c r="B47" s="3" t="inlineStr">
        <is>
          <t>이 환경에서는 볼 수 없다 — 예: 확인할 데이터가 없다</t>
        </is>
      </c>
      <c r="C47" s="4" t="n"/>
      <c r="D47" s="4" t="n"/>
      <c r="E47" s="4" t="n"/>
      <c r="F47" s="4" t="n"/>
      <c r="G47" s="4" t="n"/>
      <c r="H47" s="5" t="n"/>
    </row>
    <row r="48" ht="22" customHeight="1">
      <c r="A48" s="17" t="inlineStr">
        <is>
          <t>문의</t>
        </is>
      </c>
      <c r="B48" s="3" t="inlineStr">
        <is>
          <t>맞는지 헷갈린다 — 메모에 궁금한 점</t>
        </is>
      </c>
      <c r="C48" s="4" t="n"/>
      <c r="D48" s="4" t="n"/>
      <c r="E48" s="4" t="n"/>
      <c r="F48" s="4" t="n"/>
      <c r="G48" s="4" t="n"/>
      <c r="H48" s="5" t="n"/>
    </row>
    <row r="50" ht="24" customHeight="1">
      <c r="A50" s="9" t="inlineStr">
        <is>
          <t>사진 붙이는 법</t>
        </is>
      </c>
    </row>
    <row r="51" ht="21" customHeight="1">
      <c r="A51" s="10" t="inlineStr">
        <is>
          <t>• 윈도우: Win + Shift + S → 영역 선택 → 엑셀에서 그 줄의 «사진» 칸을 누르고 Ctrl + V</t>
        </is>
      </c>
    </row>
    <row r="52" ht="21" customHeight="1">
      <c r="A52" s="10" t="inlineStr">
        <is>
          <t>• 맥: Cmd + Ctrl + Shift + 4 → 영역 선택 → 엑셀에서 그 줄의 «사진» 칸을 누르고 Cmd + V</t>
        </is>
      </c>
    </row>
    <row r="53" ht="21" customHeight="1">
      <c r="A53" s="10" t="inlineStr">
        <is>
          <t>• 사진이 크면 모서리를 끌어 줄이세요. 사진은 그 줄 «사진» 칸 위에 두면 됩니다 — 취합할 때 줄 번호로 찾습니다.</t>
        </is>
      </c>
    </row>
    <row r="54" ht="21" customHeight="1">
      <c r="A54" s="10" t="inlineStr">
        <is>
          <t>• 사진은 떠 있는 그대로 두세요(«셀에 배치»로 넣으면 취합할 때 꺼내지 못합니다).</t>
        </is>
      </c>
    </row>
    <row r="56" ht="24" customHeight="1">
      <c r="A56" s="9" t="inlineStr">
        <is>
          <t>누구로 — 내 계정 두 개</t>
        </is>
      </c>
    </row>
    <row r="57" ht="21" customHeight="1">
      <c r="A57" s="10" t="inlineStr">
        <is>
          <t>• 계정은 두 개뿐입니다. «누구로» 칸에 계정 이름과 권한이 함께 적혀 있습니다. 비밀번호는 따로 받습니다.</t>
        </is>
      </c>
    </row>
    <row r="58" ht="22" customHeight="1">
      <c r="A58" s="2" t="inlineStr">
        <is>
          <t>이름</t>
        </is>
      </c>
      <c r="B58" s="2" t="inlineStr">
        <is>
          <t>권한</t>
        </is>
      </c>
      <c r="C58" s="5" t="n"/>
      <c r="D58" s="2" t="inlineStr">
        <is>
          <t>볼 수 있는 것</t>
        </is>
      </c>
      <c r="E58" s="5" t="n"/>
      <c r="F58" s="2" t="inlineStr">
        <is>
          <t>주로 하는 것</t>
        </is>
      </c>
      <c r="G58" s="4" t="n"/>
      <c r="H58" s="5" t="n"/>
    </row>
    <row r="59" ht="22" customHeight="1">
      <c r="A59" s="11" t="inlineStr">
        <is>
          <t>QA박안전5</t>
        </is>
      </c>
      <c r="B59" s="3" t="inlineStr">
        <is>
          <t>재난안전과 담당자</t>
        </is>
      </c>
      <c r="C59" s="5" t="n"/>
      <c r="D59" s="3" t="inlineStr">
        <is>
          <t>모든 부서 · «내 할일»은 전체</t>
        </is>
      </c>
      <c r="E59" s="5" t="n"/>
      <c r="F59" s="3" t="inlineStr">
        <is>
          <t>전 부서 등록·수정 · 확인 · 상신 · 독촉 — 대부분 이 계정</t>
        </is>
      </c>
      <c r="G59" s="4" t="n"/>
      <c r="H59" s="5" t="n"/>
    </row>
    <row r="60" ht="51" customHeight="1">
      <c r="A60" s="11" t="inlineStr">
        <is>
          <t>QA하정수5</t>
        </is>
      </c>
      <c r="B60" s="3" t="inlineStr">
        <is>
          <t>담당 공무원 (내 부서: 보건소)</t>
        </is>
      </c>
      <c r="C60" s="5" t="n"/>
      <c r="D60" s="3" t="inlineStr">
        <is>
          <t>업무 화면은 전 부서, «내 할일»은 나에게 지정된 것만, 위험성평가 부서별 조치표·교육 이수현황은 내 부서만</t>
        </is>
      </c>
      <c r="E60" s="5" t="n"/>
      <c r="F60" s="3" t="inlineStr">
        <is>
          <t>내 부서 일 · 남의 부서 것을 못 건드리는지 확인</t>
        </is>
      </c>
      <c r="G60" s="4" t="n"/>
      <c r="H60" s="5" t="n"/>
    </row>
    <row r="61" ht="22" customHeight="1">
      <c r="A61" s="11" t="inlineStr">
        <is>
          <t>QA시스템관리</t>
        </is>
      </c>
      <c r="B61" s="3" t="inlineStr">
        <is>
          <t>시스템 관리자 (김유석만)</t>
        </is>
      </c>
      <c r="C61" s="5" t="n"/>
      <c r="D61" s="3" t="inlineStr">
        <is>
          <t>시스템 관리 메뉴</t>
        </is>
      </c>
      <c r="E61" s="5" t="n"/>
      <c r="F61" s="3" t="inlineStr">
        <is>
          <t>시스템 관리 파일 · 공문 반려(결재 대행)</t>
        </is>
      </c>
      <c r="G61" s="4" t="n"/>
      <c r="H61" s="5" t="n"/>
    </row>
    <row r="63" ht="24" customHeight="1">
      <c r="A63" s="9" t="inlineStr">
        <is>
          <t>같은 서버를 6명이 함께 씁니다</t>
        </is>
      </c>
    </row>
    <row r="64" ht="21" customHeight="1">
      <c r="A64" s="10" t="inlineStr">
        <is>
          <t>• 내가 만드는 것(교육 · 근로자 · 문서 · 위원 등)은 이름 앞에 내 이름을 붙입니다 — 예: «김유석_집합교육». 그래야 내 것을 찾기 쉽습니다.</t>
        </is>
      </c>
    </row>
    <row r="65" ht="21" customHeight="1">
      <c r="A65" s="10" t="inlineStr">
        <is>
          <t>• 다른 사람이 만든 것은 고치거나 지우지 않습니다. QA박안전5 계정에는 남의 것도 보이는데, 정상입니다.</t>
        </is>
      </c>
    </row>
    <row r="66" ht="21" customHeight="1">
      <c r="A6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68" ht="24" customHeight="1">
      <c r="A68" s="9" t="inlineStr">
        <is>
          <t>알아 두면 좋은 것 (결함이 아닙니다)</t>
        </is>
      </c>
    </row>
    <row r="69" ht="21" customHeight="1">
      <c r="A69" s="10" t="inlineStr">
        <is>
          <t>• 기한·D-day는 서버의 오늘 날짜 기준입니다.</t>
        </is>
      </c>
    </row>
    <row r="70" ht="21" customHeight="1">
      <c r="A70" s="10" t="inlineStr">
        <is>
          <t>• «…연계 후 제공됩니다» 안내는 일부러 막아 둔 기능입니다.</t>
        </is>
      </c>
    </row>
    <row r="71" ht="21" customHeight="1">
      <c r="A7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72" ht="21" customHeight="1">
      <c r="A7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73" ht="21" customHeight="1">
      <c r="A73" s="10" t="inlineStr">
        <is>
          <t>• 로그인은 30분이 지나면 끊깁니다(작업 중이어도). 다시 로그인하고 이어서 합니다.</t>
        </is>
      </c>
    </row>
    <row r="74" ht="21" customHeight="1">
      <c r="A74" s="10" t="inlineStr">
        <is>
          <t>• 독촉·재촉 알림은 실제 직원에게 가고 되돌릴 수 없습니다. 내 부서 건만 1건씩 누릅니다.</t>
        </is>
      </c>
    </row>
    <row r="75" ht="21" customHeight="1">
      <c r="A75" s="10" t="inlineStr">
        <is>
          <t>• 과장·팀장이 담당자를 지정하는 흐름과 «내 할일»의 ‹자기 부서 전체› 보기는 과장 계정이 없어 이번 QA 범위 밖입니다.</t>
        </is>
      </c>
    </row>
    <row r="76" ht="21" customHeight="1">
      <c r="A76" s="10" t="inlineStr">
        <is>
          <t>• 순서를 놓쳤거나 확인할 자료가 서버에 없으면 «확인 불가»를 고르고 메모에 이유를 적습니다.</t>
        </is>
      </c>
    </row>
  </sheetData>
  <mergeCells count="95">
    <mergeCell ref="D60:E60"/>
    <mergeCell ref="F36:H36"/>
    <mergeCell ref="F33:H33"/>
    <mergeCell ref="B31:C31"/>
    <mergeCell ref="D36:E36"/>
    <mergeCell ref="D31:E31"/>
    <mergeCell ref="A69:H69"/>
    <mergeCell ref="A25:H25"/>
    <mergeCell ref="F31:H31"/>
    <mergeCell ref="B61:C61"/>
    <mergeCell ref="D61:E61"/>
    <mergeCell ref="A66:H66"/>
    <mergeCell ref="A75:H75"/>
    <mergeCell ref="B3:H3"/>
    <mergeCell ref="F61:H61"/>
    <mergeCell ref="B38:C38"/>
    <mergeCell ref="B11:H11"/>
    <mergeCell ref="B42:H42"/>
    <mergeCell ref="B33:C33"/>
    <mergeCell ref="D33:E33"/>
    <mergeCell ref="B44:H44"/>
    <mergeCell ref="B32:C32"/>
    <mergeCell ref="B26:C26"/>
    <mergeCell ref="D26:E26"/>
    <mergeCell ref="B35:C35"/>
    <mergeCell ref="D35:E35"/>
    <mergeCell ref="A24:H24"/>
    <mergeCell ref="D34:E34"/>
    <mergeCell ref="A51:H51"/>
    <mergeCell ref="A73:H73"/>
    <mergeCell ref="F35:H35"/>
    <mergeCell ref="B6:H6"/>
    <mergeCell ref="B27:C27"/>
    <mergeCell ref="A16:H16"/>
    <mergeCell ref="F27:H27"/>
    <mergeCell ref="B7:H7"/>
    <mergeCell ref="A18:H18"/>
    <mergeCell ref="B29:C29"/>
    <mergeCell ref="B37:C37"/>
    <mergeCell ref="B43:H43"/>
    <mergeCell ref="D37:E37"/>
    <mergeCell ref="F29:H29"/>
    <mergeCell ref="B8:H8"/>
    <mergeCell ref="A20:H20"/>
    <mergeCell ref="D29:E29"/>
    <mergeCell ref="A72:H72"/>
    <mergeCell ref="D38:E38"/>
    <mergeCell ref="B10:H10"/>
    <mergeCell ref="F59:H59"/>
    <mergeCell ref="B9:H9"/>
    <mergeCell ref="A64:H64"/>
    <mergeCell ref="F32:H32"/>
    <mergeCell ref="F26:H26"/>
    <mergeCell ref="B5:H5"/>
    <mergeCell ref="B45:H45"/>
    <mergeCell ref="B58:C58"/>
    <mergeCell ref="A70:H70"/>
    <mergeCell ref="F38:H38"/>
    <mergeCell ref="B4:H4"/>
    <mergeCell ref="A54:H54"/>
    <mergeCell ref="D27:E27"/>
    <mergeCell ref="B47:H47"/>
    <mergeCell ref="F58:H58"/>
    <mergeCell ref="B60:C60"/>
    <mergeCell ref="F37:H37"/>
    <mergeCell ref="A74:H74"/>
    <mergeCell ref="B46:H46"/>
    <mergeCell ref="F60:H60"/>
    <mergeCell ref="B34:C34"/>
    <mergeCell ref="A71:H71"/>
    <mergeCell ref="B28:C28"/>
    <mergeCell ref="D28:E28"/>
    <mergeCell ref="B48:H48"/>
    <mergeCell ref="A76:H76"/>
    <mergeCell ref="A17:H17"/>
    <mergeCell ref="F34:H34"/>
    <mergeCell ref="B30:C30"/>
    <mergeCell ref="A53:H53"/>
    <mergeCell ref="D30:E30"/>
    <mergeCell ref="B13:H13"/>
    <mergeCell ref="A19:H19"/>
    <mergeCell ref="F30:H30"/>
    <mergeCell ref="A39:H39"/>
    <mergeCell ref="B59:C59"/>
    <mergeCell ref="A1:H1"/>
    <mergeCell ref="F28:H28"/>
    <mergeCell ref="A65:H65"/>
    <mergeCell ref="D32:E32"/>
    <mergeCell ref="A57:H57"/>
    <mergeCell ref="B12:H12"/>
    <mergeCell ref="D58:E58"/>
    <mergeCell ref="A23:H23"/>
    <mergeCell ref="A52:H52"/>
    <mergeCell ref="B36:C36"/>
    <mergeCell ref="D59:E59"/>
  </mergeCells>
  <dataValidations count="2">
    <dataValidation sqref="B11" showDropDown="0" showInputMessage="0" showErrorMessage="0" allowBlank="1" type="list">
      <formula1>"크롬,엣지,웨일,사파리,파이어폭스,기타"</formula1>
    </dataValidation>
    <dataValidation sqref="B12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위험성평가 · 김유석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정기평가 만들기</t>
        </is>
      </c>
      <c r="B5" s="21">
        <f>COUNTA('1 정기평가 만들기'!$A$4:$A$11)</f>
        <v>8</v>
      </c>
      <c r="C5" s="21">
        <f>COUNTIF('1 정기평가 만들기'!$G$4:$G$11,"성공")</f>
        <v>0</v>
      </c>
      <c r="D5" s="21">
        <f>COUNTIF('1 정기평가 만들기'!$G$4:$G$11,"실패")</f>
        <v>0</v>
      </c>
      <c r="E5" s="21">
        <f>COUNTIF('1 정기평가 만들기'!$G$4:$G$11,"오류")</f>
        <v>0</v>
      </c>
      <c r="F5" s="21">
        <f>COUNTIF('1 정기평가 만들기'!$G$4:$G$11,"보류")</f>
        <v>0</v>
      </c>
      <c r="G5" s="21">
        <f>COUNTIF('1 정기평가 만들기'!$G$4:$G$11,"확인 불가")</f>
        <v>0</v>
      </c>
      <c r="H5" s="21">
        <f>COUNTIF('1 정기평가 만들기'!$G$4:$G$11,"문의")</f>
        <v>0</v>
      </c>
      <c r="I5" s="21">
        <f>COUNTBLANK('1 정기평가 만들기'!$G$4:$G$11)</f>
        <v>8</v>
      </c>
      <c r="J5" s="22">
        <f>IF(B5=0,0,(B5-I5)/B5)</f>
        <v>0</v>
      </c>
    </row>
    <row r="6" ht="22" customHeight="1">
      <c r="A6" s="20" t="inlineStr">
        <is>
          <t>2 설문조사표·보고서</t>
        </is>
      </c>
      <c r="B6" s="21">
        <f>COUNTA('2 설문조사표·보고서'!$A$4:$A$9)</f>
        <v>6</v>
      </c>
      <c r="C6" s="21">
        <f>COUNTIF('2 설문조사표·보고서'!$G$4:$G$9,"성공")</f>
        <v>0</v>
      </c>
      <c r="D6" s="21">
        <f>COUNTIF('2 설문조사표·보고서'!$G$4:$G$9,"실패")</f>
        <v>0</v>
      </c>
      <c r="E6" s="21">
        <f>COUNTIF('2 설문조사표·보고서'!$G$4:$G$9,"오류")</f>
        <v>0</v>
      </c>
      <c r="F6" s="21">
        <f>COUNTIF('2 설문조사표·보고서'!$G$4:$G$9,"보류")</f>
        <v>0</v>
      </c>
      <c r="G6" s="21">
        <f>COUNTIF('2 설문조사표·보고서'!$G$4:$G$9,"확인 불가")</f>
        <v>0</v>
      </c>
      <c r="H6" s="21">
        <f>COUNTIF('2 설문조사표·보고서'!$G$4:$G$9,"문의")</f>
        <v>0</v>
      </c>
      <c r="I6" s="21">
        <f>COUNTBLANK('2 설문조사표·보고서'!$G$4:$G$9)</f>
        <v>6</v>
      </c>
      <c r="J6" s="22">
        <f>IF(B6=0,0,(B6-I6)/B6)</f>
        <v>0</v>
      </c>
    </row>
    <row r="7" ht="22" customHeight="1">
      <c r="A7" s="20" t="inlineStr">
        <is>
          <t>3 전달·조치·확인</t>
        </is>
      </c>
      <c r="B7" s="21">
        <f>COUNTA('3 전달·조치·확인'!$A$4:$A$16)</f>
        <v>13</v>
      </c>
      <c r="C7" s="21">
        <f>COUNTIF('3 전달·조치·확인'!$G$4:$G$16,"성공")</f>
        <v>0</v>
      </c>
      <c r="D7" s="21">
        <f>COUNTIF('3 전달·조치·확인'!$G$4:$G$16,"실패")</f>
        <v>0</v>
      </c>
      <c r="E7" s="21">
        <f>COUNTIF('3 전달·조치·확인'!$G$4:$G$16,"오류")</f>
        <v>0</v>
      </c>
      <c r="F7" s="21">
        <f>COUNTIF('3 전달·조치·확인'!$G$4:$G$16,"보류")</f>
        <v>0</v>
      </c>
      <c r="G7" s="21">
        <f>COUNTIF('3 전달·조치·확인'!$G$4:$G$16,"확인 불가")</f>
        <v>0</v>
      </c>
      <c r="H7" s="21">
        <f>COUNTIF('3 전달·조치·확인'!$G$4:$G$16,"문의")</f>
        <v>0</v>
      </c>
      <c r="I7" s="21">
        <f>COUNTBLANK('3 전달·조치·확인'!$G$4:$G$16)</f>
        <v>13</v>
      </c>
      <c r="J7" s="22">
        <f>IF(B7=0,0,(B7-I7)/B7)</f>
        <v>0</v>
      </c>
    </row>
    <row r="8" ht="22" customHeight="1">
      <c r="A8" s="20" t="inlineStr">
        <is>
          <t>4 공문·결재</t>
        </is>
      </c>
      <c r="B8" s="21">
        <f>COUNTA('4 공문·결재'!$A$4:$A$8)</f>
        <v>5</v>
      </c>
      <c r="C8" s="21">
        <f>COUNTIF('4 공문·결재'!$G$4:$G$8,"성공")</f>
        <v>0</v>
      </c>
      <c r="D8" s="21">
        <f>COUNTIF('4 공문·결재'!$G$4:$G$8,"실패")</f>
        <v>0</v>
      </c>
      <c r="E8" s="21">
        <f>COUNTIF('4 공문·결재'!$G$4:$G$8,"오류")</f>
        <v>0</v>
      </c>
      <c r="F8" s="21">
        <f>COUNTIF('4 공문·결재'!$G$4:$G$8,"보류")</f>
        <v>0</v>
      </c>
      <c r="G8" s="21">
        <f>COUNTIF('4 공문·결재'!$G$4:$G$8,"확인 불가")</f>
        <v>0</v>
      </c>
      <c r="H8" s="21">
        <f>COUNTIF('4 공문·결재'!$G$4:$G$8,"문의")</f>
        <v>0</v>
      </c>
      <c r="I8" s="21">
        <f>COUNTBLANK('4 공문·결재'!$G$4:$G$8)</f>
        <v>5</v>
      </c>
      <c r="J8" s="22">
        <f>IF(B8=0,0,(B8-I8)/B8)</f>
        <v>0</v>
      </c>
    </row>
    <row r="9" ht="22" customHeight="1">
      <c r="A9" s="20" t="inlineStr">
        <is>
          <t>5 수시평가</t>
        </is>
      </c>
      <c r="B9" s="21">
        <f>COUNTA('5 수시평가'!$A$4:$A$15)</f>
        <v>12</v>
      </c>
      <c r="C9" s="21">
        <f>COUNTIF('5 수시평가'!$G$4:$G$15,"성공")</f>
        <v>0</v>
      </c>
      <c r="D9" s="21">
        <f>COUNTIF('5 수시평가'!$G$4:$G$15,"실패")</f>
        <v>0</v>
      </c>
      <c r="E9" s="21">
        <f>COUNTIF('5 수시평가'!$G$4:$G$15,"오류")</f>
        <v>0</v>
      </c>
      <c r="F9" s="21">
        <f>COUNTIF('5 수시평가'!$G$4:$G$15,"보류")</f>
        <v>0</v>
      </c>
      <c r="G9" s="21">
        <f>COUNTIF('5 수시평가'!$G$4:$G$15,"확인 불가")</f>
        <v>0</v>
      </c>
      <c r="H9" s="21">
        <f>COUNTIF('5 수시평가'!$G$4:$G$15,"문의")</f>
        <v>0</v>
      </c>
      <c r="I9" s="21">
        <f>COUNTBLANK('5 수시평가'!$G$4:$G$15)</f>
        <v>12</v>
      </c>
      <c r="J9" s="22">
        <f>IF(B9=0,0,(B9-I9)/B9)</f>
        <v>0</v>
      </c>
    </row>
    <row r="10" ht="24" customHeight="1">
      <c r="A10" s="23" t="inlineStr">
        <is>
          <t>합계</t>
        </is>
      </c>
      <c r="B10" s="24">
        <f>SUM(B5:B9)</f>
        <v>44</v>
      </c>
      <c r="C10" s="24">
        <f>SUM(C5:C9)</f>
        <v>0</v>
      </c>
      <c r="D10" s="24">
        <f>SUM(D5:D9)</f>
        <v>0</v>
      </c>
      <c r="E10" s="24">
        <f>SUM(E5:E9)</f>
        <v>0</v>
      </c>
      <c r="F10" s="24">
        <f>SUM(F5:F9)</f>
        <v>0</v>
      </c>
      <c r="G10" s="24">
        <f>SUM(G5:G9)</f>
        <v>0</v>
      </c>
      <c r="H10" s="24">
        <f>SUM(H5:H9)</f>
        <v>0</v>
      </c>
      <c r="I10" s="24">
        <f>SUM(I5:I9)</f>
        <v>44</v>
      </c>
      <c r="J10" s="25">
        <f>IF(B10=0,0,(B10-I10)/B10)</f>
        <v>0</v>
      </c>
    </row>
  </sheetData>
  <mergeCells count="2">
    <mergeCell ref="A1:J1"/>
    <mergeCell ref="A2:J2"/>
  </mergeCells>
  <conditionalFormatting sqref="J5:J10">
    <cfRule type="dataBar" priority="1">
      <dataBar showValue="1">
        <cfvo type="num" val="0"/>
        <cfvo type="num" val="1"/>
        <color rgb="0063BE7B"/>
      </dataBar>
    </cfRule>
  </conditionalFormatting>
  <conditionalFormatting sqref="D5:D10">
    <cfRule type="cellIs" priority="2" operator="greaterThan" dxfId="0">
      <formula>0</formula>
    </cfRule>
  </conditionalFormatting>
  <conditionalFormatting sqref="E5:E10">
    <cfRule type="cellIs" priority="3" operator="greaterThan" dxfId="0">
      <formula>0</formula>
    </cfRule>
  </conditionalFormatting>
  <conditionalFormatting sqref="H5:H10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1 정기평가 만들기</t>
        </is>
      </c>
    </row>
    <row r="2" ht="24" customHeight="1">
      <c r="A2" s="26" t="inlineStr">
        <is>
          <t>🗂 1~6번은 모두 각자 하고, 만들기 창은 [취소]로 닫습니다 — [생성]은 진행자만 누릅니다. 6번까지 끝나면 단체방에 «만들기 전 확인 끝».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QA박안전5(재난안전과)</t>
        </is>
      </c>
      <c r="C4" s="3" t="inlineStr">
        <is>
          <t>위험성평가 &gt; 정기 위험성평가</t>
        </is>
      </c>
      <c r="D4" s="11" t="inlineStr">
        <is>
          <t>올해 평가가 없을 때 첫 화면</t>
        </is>
      </c>
      <c r="E4" s="3" t="inlineStr">
        <is>
          <t>① 메뉴로 들어간다
② 연도가 2026인지 본다</t>
        </is>
      </c>
      <c r="F4" s="3" t="inlineStr">
        <is>
          <t>«2026년 정기 위험성평가가 등록되지 않았습니다»와 [＋ 정기평가 생성] 버튼이 보인다</t>
        </is>
      </c>
      <c r="G4" s="29" t="n"/>
      <c r="H4" s="7" t="n"/>
      <c r="I4" s="7" t="n"/>
    </row>
    <row r="5" ht="51" customHeight="1">
      <c r="A5" s="28" t="n">
        <v>2</v>
      </c>
      <c r="B5" s="30" t="inlineStr">
        <is>
          <t>QA박안전5(재난안전과)</t>
        </is>
      </c>
      <c r="C5" s="30" t="inlineStr">
        <is>
          <t>위험성평가 &gt; 정기 위험성평가</t>
        </is>
      </c>
      <c r="D5" s="11" t="inlineStr">
        <is>
          <t>지난해 평가 보기</t>
        </is>
      </c>
      <c r="E5" s="3" t="inlineStr">
        <is>
          <t>① 연도를 2025로 바꾼다
② 위 요약 숫자와 아래 표를 비교한다
③ 다시 2026으로 바꾼다</t>
        </is>
      </c>
      <c r="F5" s="3" t="inlineStr">
        <is>
          <t>2025년 평가가 보이고 요약 숫자가 표 내용과 맞다. 2025년 자료가 없으면 «확인 불가»</t>
        </is>
      </c>
      <c r="G5" s="29" t="n"/>
      <c r="H5" s="7" t="n"/>
      <c r="I5" s="7" t="n"/>
    </row>
    <row r="6" ht="36" customHeight="1">
      <c r="A6" s="28" t="n">
        <v>3</v>
      </c>
      <c r="B6" s="3" t="inlineStr">
        <is>
          <t>QA하정수5(담당 공무원)</t>
        </is>
      </c>
      <c r="C6" s="30" t="inlineStr">
        <is>
          <t>위험성평가 &gt; 정기 위험성평가</t>
        </is>
      </c>
      <c r="D6" s="11" t="inlineStr">
        <is>
          <t>담당 공무원은 만들 수 없다</t>
        </is>
      </c>
      <c r="E6" s="3" t="inlineStr">
        <is>
          <t>QA하정수5 창에서 같은 화면을 본다</t>
        </is>
      </c>
      <c r="F6" s="3" t="inlineStr">
        <is>
          <t>[＋ 정기평가 생성]이 없고, 재난안전과 담당자가 만든다는 안내가 보인다</t>
        </is>
      </c>
      <c r="G6" s="29" t="n"/>
      <c r="H6" s="7" t="n"/>
      <c r="I6" s="7" t="n"/>
    </row>
    <row r="7" ht="81" customHeight="1">
      <c r="A7" s="28" t="n">
        <v>4</v>
      </c>
      <c r="B7" s="3" t="inlineStr">
        <is>
          <t>QA박안전5(재난안전과)</t>
        </is>
      </c>
      <c r="C7" s="30" t="inlineStr">
        <is>
          <t>위험성평가 &gt; 정기 위험성평가</t>
        </is>
      </c>
      <c r="D7" s="11" t="inlineStr">
        <is>
          <t>만들기 창 — 대상 부서 고르기</t>
        </is>
      </c>
      <c r="E7" s="3" t="inlineStr">
        <is>
          <t>① [＋ 정기평가 생성]
② 부서 몇 개를 체크 해제했다가 다시 체크한다
③ 검색창에 내 부서 이름 일부를 친다
④ [취소]</t>
        </is>
      </c>
      <c r="F7" s="3" t="inlineStr">
        <is>
          <t>처음엔 모두 체크돼 있고 고른 개수가 바로 바뀐다. 검색해도 체크가 그대로다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QA박안전5(재난안전과)</t>
        </is>
      </c>
      <c r="C8" s="30" t="inlineStr">
        <is>
          <t>위험성평가 &gt; 정기 위험성평가</t>
        </is>
      </c>
      <c r="D8" s="11" t="inlineStr">
        <is>
          <t>부서를 하나도 안 고르면 막힌다</t>
        </is>
      </c>
      <c r="E8" s="3" t="inlineStr">
        <is>
          <t>① [＋ 정기평가 생성]
② 전체 선택을 해제한다
③ [다음]
④ [취소]</t>
        </is>
      </c>
      <c r="F8" s="3" t="inlineStr">
        <is>
          <t>«1개 이상 부서를 선택하세요.»가 뜨고 넘어가지 않는다</t>
        </is>
      </c>
      <c r="G8" s="29" t="n"/>
      <c r="H8" s="7" t="n"/>
      <c r="I8" s="7" t="n"/>
    </row>
    <row r="9" ht="66" customHeight="1">
      <c r="A9" s="28" t="n">
        <v>6</v>
      </c>
      <c r="B9" s="30" t="inlineStr">
        <is>
          <t>QA박안전5(재난안전과)</t>
        </is>
      </c>
      <c r="C9" s="30" t="inlineStr">
        <is>
          <t>위험성평가 &gt; 정기 위험성평가</t>
        </is>
      </c>
      <c r="D9" s="11" t="inlineStr">
        <is>
          <t>점검일자가 없으면 막힌다</t>
        </is>
      </c>
      <c r="E9" s="3" t="inlineStr">
        <is>
          <t>① [＋ 정기평가 생성]
② 내 부서(보건소)가 체크된 채 [다음]
③ 점검일자를 비운 채 [생성]
④ [취소]</t>
        </is>
      </c>
      <c r="F9" s="3" t="inlineStr">
        <is>
          <t>«점검일자가 비어있는 부서가 있습니다 (N개)»가 뜨고 만들어지지 않는다</t>
        </is>
      </c>
      <c r="G9" s="29" t="n"/>
      <c r="H9" s="7" t="n"/>
      <c r="I9" s="7" t="n"/>
    </row>
    <row r="10" ht="51" customHeight="1">
      <c r="A10" s="28" t="n">
        <v>8</v>
      </c>
      <c r="B10" s="30" t="inlineStr">
        <is>
          <t>QA박안전5(재난안전과)</t>
        </is>
      </c>
      <c r="C10" s="30" t="inlineStr">
        <is>
          <t>위험성평가 &gt; 정기 위험성평가</t>
        </is>
      </c>
      <c r="D10" s="11" t="inlineStr">
        <is>
          <t>새로고침해도 그대로</t>
        </is>
      </c>
      <c r="E10" s="3" t="inlineStr">
        <is>
          <t>«평가 만듦»이 오면 브라우저 새로고침(F5)</t>
        </is>
      </c>
      <c r="F10" s="3" t="inlineStr">
        <is>
          <t>«2026년 정기 위험성평가» 제목과 7개 부서·점검일이 보인다. 오른쪽 위에 «정기평가는 연 1회 등록 원칙»이 보인다</t>
        </is>
      </c>
      <c r="G10" s="29" t="n"/>
      <c r="H10" s="7" t="n"/>
      <c r="I10" s="7" t="n"/>
    </row>
    <row r="11" ht="51" customHeight="1">
      <c r="A11" s="28" t="n">
        <v>9</v>
      </c>
      <c r="B11" s="30" t="inlineStr">
        <is>
          <t>QA박안전5(재난안전과)</t>
        </is>
      </c>
      <c r="C11" s="30" t="inlineStr">
        <is>
          <t>위험성평가 &gt; 정기 위험성평가</t>
        </is>
      </c>
      <c r="D11" s="11" t="inlineStr">
        <is>
          <t>로그인 남은 시간</t>
        </is>
      </c>
      <c r="E11" s="3" t="inlineStr">
        <is>
          <t>화면 맨 위에 로그인 남은 시간이 보이는지 본다. 30분이 지나 끊기면 다시 로그인한다</t>
        </is>
      </c>
      <c r="F11" s="3" t="inlineStr">
        <is>
          <t>남은 시간이 보이고, 30분이 지나면 로그인 화면으로 간다. 다시 로그인하면 이어서 할 수 있다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2 설문조사표·보고서</t>
        </is>
      </c>
    </row>
    <row r="2" ht="24" customHeight="1">
      <c r="A2" s="26" t="inlineStr">
        <is>
          <t>🗂 진행자가 «양식 올림»을 알리면 시작합니다. 내 부서 제출은 각자 하고, 보고서는 진행자가 올립니다.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11</v>
      </c>
      <c r="B4" s="3" t="inlineStr">
        <is>
          <t>QA하정수5(담당 공무원)</t>
        </is>
      </c>
      <c r="C4" s="3" t="inlineStr">
        <is>
          <t>위험성평가 &gt; 정기 위험성평가</t>
        </is>
      </c>
      <c r="D4" s="11" t="inlineStr">
        <is>
          <t>내 부서가 작성본을 낸다</t>
        </is>
      </c>
      <c r="E4" s="3" t="inlineStr">
        <is>
          <t>«양식 올림»이 오면 ① 내 부서 진행 카드에 공통 양식이 있는지 본다
② 작성본을 제출한다
③ 단체방에 «제출 끝»</t>
        </is>
      </c>
      <c r="F4" s="3" t="inlineStr">
        <is>
          <t>제출자(QA하정수5)·제출일이 남고 표의 «제출본» 칸에 바로 보인다. 다른 부서 줄에는 제출 버튼이 없다</t>
        </is>
      </c>
      <c r="G4" s="29" t="n"/>
      <c r="H4" s="7" t="n"/>
      <c r="I4" s="7" t="n"/>
    </row>
    <row r="5" ht="66" customHeight="1">
      <c r="A5" s="28" t="n">
        <v>15</v>
      </c>
      <c r="B5" s="3" t="inlineStr">
        <is>
          <t>QA하정수5(담당 공무원) → QA박안전5(재난안전과)</t>
        </is>
      </c>
      <c r="C5" s="30" t="inlineStr">
        <is>
          <t>위험성평가 &gt; 정기 위험성평가</t>
        </is>
      </c>
      <c r="D5" s="11" t="inlineStr">
        <is>
          <t>보고서를 올린 뒤에는 설문조사표를 못 바꾼다</t>
        </is>
      </c>
      <c r="E5" s="3" t="inlineStr">
        <is>
          <t>«보고서 올림»이 오면 ① QA하정수5 창에서 내 부서 제출본 바꾸기를 시도한다
② QA박안전5 창에서 내 부서 양식 바꾸기를 시도한다</t>
        </is>
      </c>
      <c r="F5" s="3" t="inlineStr">
        <is>
          <t>«보고서가 등록되어 … 더 이상 바꿀 수 없습니다»가 뜨고 파일은 «🔒 열람»으로만 남는다</t>
        </is>
      </c>
      <c r="G5" s="29" t="n"/>
      <c r="H5" s="7" t="n"/>
      <c r="I5" s="7" t="n"/>
    </row>
    <row r="6" ht="36" customHeight="1">
      <c r="A6" s="28" t="n">
        <v>16</v>
      </c>
      <c r="B6" s="3" t="inlineStr">
        <is>
          <t>QA박안전5(재난안전과)</t>
        </is>
      </c>
      <c r="C6" s="30" t="inlineStr">
        <is>
          <t>위험성평가 &gt; 정기 위험성평가</t>
        </is>
      </c>
      <c r="D6" s="11" t="inlineStr">
        <is>
          <t>내 부서 개선조치 적기</t>
        </is>
      </c>
      <c r="E6" s="3" t="inlineStr">
        <is>
          <t>내 부서(보건소) 줄에 유해위험요인·원인·개선조치·담당자(QA하정수5)를 채운 행 3개를 만든다</t>
        </is>
      </c>
      <c r="F6" s="3" t="inlineStr">
        <is>
          <t>적은 행 3개가 저장된다</t>
        </is>
      </c>
      <c r="G6" s="29" t="n"/>
      <c r="H6" s="7" t="n"/>
      <c r="I6" s="7" t="n"/>
    </row>
    <row r="7" ht="51" customHeight="1">
      <c r="A7" s="28" t="n">
        <v>17</v>
      </c>
      <c r="B7" s="30" t="inlineStr">
        <is>
          <t>QA박안전5(재난안전과)</t>
        </is>
      </c>
      <c r="C7" s="30" t="inlineStr">
        <is>
          <t>위험성평가 &gt; 정기 위험성평가</t>
        </is>
      </c>
      <c r="D7" s="11" t="inlineStr">
        <is>
          <t>시설물 칸 3가지 상태</t>
        </is>
      </c>
      <c r="E7" s="3" t="inlineStr">
        <is>
          <t>16번의 행 3개 중 ① 하나는 시설물을 지정
② 하나는 [해당 없음]
③ 하나는 그대로 둔다</t>
        </is>
      </c>
      <c r="F7" s="3" t="inlineStr">
        <is>
          <t>«지정 / 해당 없음 / 미지정»이 서로 다르게 보이고 어느 것도 다음 단계를 막지 않는다</t>
        </is>
      </c>
      <c r="G7" s="29" t="n"/>
      <c r="H7" s="7" t="n"/>
      <c r="I7" s="7" t="n"/>
    </row>
    <row r="8" ht="96" customHeight="1">
      <c r="A8" s="28" t="n">
        <v>18</v>
      </c>
      <c r="B8" s="30" t="inlineStr">
        <is>
          <t>QA박안전5(재난안전과)</t>
        </is>
      </c>
      <c r="C8" s="3" t="inlineStr">
        <is>
          <t>관리대상 &gt; 시설물 위험도</t>
        </is>
      </c>
      <c r="D8" s="11" t="inlineStr">
        <is>
          <t>시설물에서 넘어와 행 추가</t>
        </is>
      </c>
      <c r="E8" s="3" t="inlineStr">
        <is>
          <t>① 점수가 있는 시설물의 [근로자 위험성평가 연계]
② 넘어간 화면에서 내 부서의 [＋ 행 추가]
③ 개선조치는 비워 둔다(이 행은 전달되지 않는다)
④ 단체방에 «개선조치 적음»</t>
        </is>
      </c>
      <c r="F8" s="3" t="inlineStr">
        <is>
          <t>위에 «시설물 ○○ 에서 넘어왔습니다» 안내가 있고 새 행에 그 시설물이 채워져 있다</t>
        </is>
      </c>
      <c r="G8" s="29" t="n"/>
      <c r="H8" s="7" t="n"/>
      <c r="I8" s="7" t="n"/>
    </row>
    <row r="9" ht="51" customHeight="1">
      <c r="A9" s="28" t="n">
        <v>19</v>
      </c>
      <c r="B9" s="30" t="inlineStr">
        <is>
          <t>QA박안전5(재난안전과)</t>
        </is>
      </c>
      <c r="C9" s="3" t="inlineStr">
        <is>
          <t>위험성평가 &gt; 정기 위험성평가</t>
        </is>
      </c>
      <c r="D9" s="11" t="inlineStr">
        <is>
          <t>여럿이 적어도 내 행이 남는다</t>
        </is>
      </c>
      <c r="E9" s="3" t="inlineStr">
        <is>
          <t>모두 «개선조치 적음»을 알리면 새로고침 → 내 부서 줄과 다른 부서 줄을 본다</t>
        </is>
      </c>
      <c r="F9" s="3" t="inlineStr">
        <is>
          <t>16번에 적은 3행이 그대로이고 다른 사람이 적은 부서의 행도 보인다. 내 행이 사라졌거나 다른 값으로 바뀌었으면 «실패»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3 전달·조치·확인</t>
        </is>
      </c>
    </row>
    <row r="2" ht="24" customHeight="1">
      <c r="A2" s="26" t="inlineStr">
        <is>
          <t>🗂 진행자가 «전달함»을 알리면 시작합니다. 내 부서 일은 QA박안전5 창과 QA하정수5 창을 번갈아 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23</v>
      </c>
      <c r="B4" s="3" t="inlineStr">
        <is>
          <t>QA하정수5(담당 공무원) → QA박안전5(재난안전과)</t>
        </is>
      </c>
      <c r="C4" s="3" t="inlineStr">
        <is>
          <t>위험성평가 &gt; 정기 위험성평가</t>
        </is>
      </c>
      <c r="D4" s="11" t="inlineStr">
        <is>
          <t>누가 어느 부서를 보나</t>
        </is>
      </c>
      <c r="E4" s="3" t="inlineStr">
        <is>
          <t>«전달함»이 오면 ① QA하정수5 창에서 부서별 조치 표를 본다
② QA박안전5 창에서 같은 표를 본다</t>
        </is>
      </c>
      <c r="F4" s="3" t="inlineStr">
        <is>
          <t>QA하정수5 계정에는 내 부서 줄만 보이고 다른 부서를 열 수단이 없다. QA박안전5 계정에는 대상 부서가 다 보인다</t>
        </is>
      </c>
      <c r="G4" s="29" t="n"/>
      <c r="H4" s="7" t="n"/>
      <c r="I4" s="7" t="n"/>
    </row>
    <row r="5" ht="51" customHeight="1">
      <c r="A5" s="28" t="n">
        <v>24</v>
      </c>
      <c r="B5" s="3" t="inlineStr">
        <is>
          <t>QA하정수5(담당 공무원)</t>
        </is>
      </c>
      <c r="C5" s="3" t="inlineStr">
        <is>
          <t>대시보드 &gt; 내 할일</t>
        </is>
      </c>
      <c r="D5" s="11" t="inlineStr">
        <is>
          <t>조치 완료는 사진·내용·서명이 있어야</t>
        </is>
      </c>
      <c r="E5" s="3" t="inlineStr">
        <is>
          <t>① 개선조치 하나의 완료 처리를 연다
② 사진 없이 저장 → 사진만 넣고 저장 → 내용까지 넣고 서명 없이 저장</t>
        </is>
      </c>
      <c r="F5" s="3" t="inlineStr">
        <is>
          <t>차례로 «개선 후 사진을…» «조치 내용을 입력하세요.» «완료 확인 서명(이름)을…»으로 막힌다. 적은 값은 남아 있다</t>
        </is>
      </c>
      <c r="G5" s="29" t="n"/>
      <c r="H5" s="7" t="n"/>
      <c r="I5" s="7" t="n"/>
    </row>
    <row r="6" ht="36" customHeight="1">
      <c r="A6" s="28" t="n">
        <v>25</v>
      </c>
      <c r="B6" s="30" t="inlineStr">
        <is>
          <t>QA하정수5(담당 공무원)</t>
        </is>
      </c>
      <c r="C6" s="30" t="inlineStr">
        <is>
          <t>대시보드 &gt; 내 할일</t>
        </is>
      </c>
      <c r="D6" s="11" t="inlineStr">
        <is>
          <t>조치 완료하기</t>
        </is>
      </c>
      <c r="E6" s="3" t="inlineStr">
        <is>
          <t>사진·내용·서명을 모두 채워 완료 → 하나 더 완료(3건 중 2건)</t>
        </is>
      </c>
      <c r="F6" s="3" t="inlineStr">
        <is>
          <t>완료되고 «확인 대기»가 붙는다. 내 할일에는 내 부서 건만 있다</t>
        </is>
      </c>
      <c r="G6" s="29" t="n"/>
      <c r="H6" s="7" t="n"/>
      <c r="I6" s="7" t="n"/>
    </row>
    <row r="7" ht="51" customHeight="1">
      <c r="A7" s="28" t="n">
        <v>26</v>
      </c>
      <c r="B7" s="3" t="inlineStr">
        <is>
          <t>QA박안전5(재난안전과)</t>
        </is>
      </c>
      <c r="C7" s="3" t="inlineStr">
        <is>
          <t>위험성평가 &gt; 정기 위험성평가</t>
        </is>
      </c>
      <c r="D7" s="11" t="inlineStr">
        <is>
          <t>담당자·기한을 바꿀 땐 사유가 필요</t>
        </is>
      </c>
      <c r="E7" s="3" t="inlineStr">
        <is>
          <t>내 부서 상세에서 아직 완료하지 않은 1건의 기한을 어제로 바꾼다 ① 사유 없이 저장
② 사유를 넣고 저장</t>
        </is>
      </c>
      <c r="F7" s="3" t="inlineStr">
        <is>
          <t>사유 없이는 «변경 사유를 입력하세요.» 저장하면 이력에 «기한 A → B — 사유»가 남고 그 건이 기한 초과로 보인다</t>
        </is>
      </c>
      <c r="G7" s="29" t="n"/>
      <c r="H7" s="7" t="n"/>
      <c r="I7" s="7" t="n"/>
    </row>
    <row r="8" ht="51" customHeight="1">
      <c r="A8" s="28" t="n">
        <v>27</v>
      </c>
      <c r="B8" s="30" t="inlineStr">
        <is>
          <t>QA박안전5(재난안전과)</t>
        </is>
      </c>
      <c r="C8" s="30" t="inlineStr">
        <is>
          <t>위험성평가 &gt; 정기 위험성평가</t>
        </is>
      </c>
      <c r="D8" s="11" t="inlineStr">
        <is>
          <t>기한 지난 건 재촉</t>
        </is>
      </c>
      <c r="E8" s="3" t="inlineStr">
        <is>
          <t>26번 건의 [재촉]</t>
        </is>
      </c>
      <c r="F8" s="3" t="inlineStr">
        <is>
          <t>«재촉 알림을 발송했습니다», 이력에 보낸 사람이 QA박안전5 계정으로 남는다. 완료한 건에는 재촉 버튼이 없다</t>
        </is>
      </c>
      <c r="G8" s="29" t="n"/>
      <c r="H8" s="7" t="n"/>
      <c r="I8" s="7" t="n"/>
    </row>
    <row r="9" ht="36" customHeight="1">
      <c r="A9" s="28" t="n">
        <v>28</v>
      </c>
      <c r="B9" s="3" t="inlineStr">
        <is>
          <t>QA하정수5(담당 공무원)</t>
        </is>
      </c>
      <c r="C9" s="30" t="inlineStr">
        <is>
          <t>위험성평가 &gt; 정기 위험성평가</t>
        </is>
      </c>
      <c r="D9" s="11" t="inlineStr">
        <is>
          <t>담당 공무원에게는 확인·재촉 버튼이 없다</t>
        </is>
      </c>
      <c r="E9" s="3" t="inlineStr">
        <is>
          <t>QA하정수5 창에서 내 부서 상세를 연다</t>
        </is>
      </c>
      <c r="F9" s="3" t="inlineStr">
        <is>
          <t>볼 수는 있지만 [재촉]·[확인]·[반려]가 없다</t>
        </is>
      </c>
      <c r="G9" s="29" t="n"/>
      <c r="H9" s="7" t="n"/>
      <c r="I9" s="7" t="n"/>
    </row>
    <row r="10" ht="51" customHeight="1">
      <c r="A10" s="28" t="n">
        <v>29</v>
      </c>
      <c r="B10" s="3" t="inlineStr">
        <is>
          <t>QA박안전5(재난안전과)</t>
        </is>
      </c>
      <c r="C10" s="30" t="inlineStr">
        <is>
          <t>위험성평가 &gt; 정기 위험성평가</t>
        </is>
      </c>
      <c r="D10" s="11" t="inlineStr">
        <is>
          <t>완료 확인 — 열람 체크를 해야 확인된다</t>
        </is>
      </c>
      <c r="E10" s="3" t="inlineStr">
        <is>
          <t>① 내 부서 상세의 확인 대기 카드 하나
② 체크 없이 [확인]
③ «…열람했습니다»를 체크하고 [확인]</t>
        </is>
      </c>
      <c r="F10" s="3" t="inlineStr">
        <is>
          <t>체크 전에는 [확인]이 눌리지 않는다. 확인하면 «확인 완료»가 된다</t>
        </is>
      </c>
      <c r="G10" s="29" t="n"/>
      <c r="H10" s="7" t="n"/>
      <c r="I10" s="7" t="n"/>
    </row>
    <row r="11" ht="51" customHeight="1">
      <c r="A11" s="28" t="n">
        <v>30</v>
      </c>
      <c r="B11" s="30" t="inlineStr">
        <is>
          <t>QA박안전5(재난안전과)</t>
        </is>
      </c>
      <c r="C11" s="30" t="inlineStr">
        <is>
          <t>위험성평가 &gt; 정기 위험성평가</t>
        </is>
      </c>
      <c r="D11" s="11" t="inlineStr">
        <is>
          <t>반려는 사유가 있어야</t>
        </is>
      </c>
      <c r="E11" s="3" t="inlineStr">
        <is>
          <t>내 부서의 다른 확인 대기 건을 ① 사유 없이 반려
② 사유를 넣고 반려</t>
        </is>
      </c>
      <c r="F11" s="3" t="inlineStr">
        <is>
          <t>사유 없이는 «반려 사유를 입력하세요 — …»로 막히고, 반려하면 카드에 사유와 회차가 보인다</t>
        </is>
      </c>
      <c r="G11" s="29" t="n"/>
      <c r="H11" s="7" t="n"/>
      <c r="I11" s="7" t="n"/>
    </row>
    <row r="12" ht="51" customHeight="1">
      <c r="A12" s="28" t="n">
        <v>31</v>
      </c>
      <c r="B12" s="3" t="inlineStr">
        <is>
          <t>QA하정수5(담당 공무원)</t>
        </is>
      </c>
      <c r="C12" s="3" t="inlineStr">
        <is>
          <t>대시보드 &gt; 내 할일</t>
        </is>
      </c>
      <c r="D12" s="11" t="inlineStr">
        <is>
          <t>반려된 건을 다시 낸다</t>
        </is>
      </c>
      <c r="E12" s="3" t="inlineStr">
        <is>
          <t>① 내 할일에 반려 건이 다시 떠 있는지 본다
② [재제출]로 다시 완료
③ 26번에서 기한을 바꾼 건도 완료한다</t>
        </is>
      </c>
      <c r="F12" s="3" t="inlineStr">
        <is>
          <t>반려 건이 할 일에 다시 있고 사유가 보인다. 재제출하면 «확인 대기»로 돌아간다</t>
        </is>
      </c>
      <c r="G12" s="29" t="n"/>
      <c r="H12" s="7" t="n"/>
      <c r="I12" s="7" t="n"/>
    </row>
    <row r="13" ht="51" customHeight="1">
      <c r="A13" s="28" t="n">
        <v>32</v>
      </c>
      <c r="B13" s="3" t="inlineStr">
        <is>
          <t>QA박안전5(재난안전과)</t>
        </is>
      </c>
      <c r="C13" s="3" t="inlineStr">
        <is>
          <t>위험성평가 &gt; 정기 위험성평가</t>
        </is>
      </c>
      <c r="D13" s="11" t="inlineStr">
        <is>
          <t>확인이 덜 끝나면 공문을 못 쓴다</t>
        </is>
      </c>
      <c r="E13" s="3" t="inlineStr">
        <is>
          <t>공문(온나라 이관) 영역을 본다</t>
        </is>
      </c>
      <c r="F13" s="3" t="inlineStr">
        <is>
          <t>«전 건 확인 완료 후 기안할 수 있습니다 (확인 대기 N건 · 반려 M건)»처럼 남은 건수를 알려 준다. 다른 사람 부서의 건도 함께 센다</t>
        </is>
      </c>
      <c r="G13" s="29" t="n"/>
      <c r="H13" s="7" t="n"/>
      <c r="I13" s="7" t="n"/>
    </row>
    <row r="14" ht="36" customHeight="1">
      <c r="A14" s="28" t="n">
        <v>33</v>
      </c>
      <c r="B14" s="30" t="inlineStr">
        <is>
          <t>QA박안전5(재난안전과)</t>
        </is>
      </c>
      <c r="C14" s="30" t="inlineStr">
        <is>
          <t>위험성평가 &gt; 정기 위험성평가</t>
        </is>
      </c>
      <c r="D14" s="11" t="inlineStr">
        <is>
          <t>내 부서 확인 마치기</t>
        </is>
      </c>
      <c r="E14" s="3" t="inlineStr">
        <is>
          <t>내 부서의 확인 대기 건을 모두 확인한다 → 단체방에 «확인 끝»</t>
        </is>
      </c>
      <c r="F14" s="3" t="inlineStr">
        <is>
          <t>내 부서가 완료 부서로 세어진다</t>
        </is>
      </c>
      <c r="G14" s="29" t="n"/>
      <c r="H14" s="7" t="n"/>
      <c r="I14" s="7" t="n"/>
    </row>
    <row r="15" ht="51" customHeight="1">
      <c r="A15" s="28" t="n">
        <v>34</v>
      </c>
      <c r="B15" s="30" t="inlineStr">
        <is>
          <t>QA박안전5(재난안전과)</t>
        </is>
      </c>
      <c r="C15" s="30" t="inlineStr">
        <is>
          <t>위험성평가 &gt; 정기 위험성평가</t>
        </is>
      </c>
      <c r="D15" s="11" t="inlineStr">
        <is>
          <t>전 부서 확인이 끝나면 공문을 쓸 수 있다</t>
        </is>
      </c>
      <c r="E15" s="3" t="inlineStr">
        <is>
          <t>모두 «확인 끝»을 알리면 새로고침</t>
        </is>
      </c>
      <c r="F15" s="3" t="inlineStr">
        <is>
          <t>모든 부서가 완료(또는 지적사항 없음)이고 공문 영역이 «전 부서 확인 완료 — 공문을 작성해…»로 바뀐다</t>
        </is>
      </c>
      <c r="G15" s="29" t="n"/>
      <c r="H15" s="7" t="n"/>
      <c r="I15" s="7" t="n"/>
    </row>
    <row r="16" ht="51" customHeight="1">
      <c r="A16" s="28" t="n">
        <v>35</v>
      </c>
      <c r="B16" s="30" t="inlineStr">
        <is>
          <t>QA박안전5(재난안전과)</t>
        </is>
      </c>
      <c r="C16" s="30" t="inlineStr">
        <is>
          <t>위험성평가 &gt; 정기 위험성평가</t>
        </is>
      </c>
      <c r="D16" s="11" t="inlineStr">
        <is>
          <t>이력 탭</t>
        </is>
      </c>
      <c r="E16" s="3" t="inlineStr">
        <is>
          <t>[이력] 탭을 연다</t>
        </is>
      </c>
      <c r="F16" s="3" t="inlineStr">
        <is>
          <t>만들기·첨부·전달·재촉·변경·확인·반려가 시간순으로 있고, 누가 했는지 사람마다 다른 계정 이름으로 남아 있다</t>
        </is>
      </c>
      <c r="G16" s="29" t="n"/>
      <c r="H16" s="7" t="n"/>
      <c r="I16" s="7" t="n"/>
    </row>
  </sheetData>
  <autoFilter ref="A3:I16"/>
  <mergeCells count="2">
    <mergeCell ref="A1:I1"/>
    <mergeCell ref="A2:I2"/>
  </mergeCells>
  <conditionalFormatting sqref="G4:G1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6">
    <cfRule type="expression" priority="7" dxfId="7">
      <formula>AND(OR($G4="실패",$G4="오류",$G4="문의"),$H4="")</formula>
    </cfRule>
  </conditionalFormatting>
  <dataValidations count="1">
    <dataValidation sqref="G4:G1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4 공문·결재</t>
        </is>
      </c>
    </row>
    <row r="2" ht="24" customHeight="1">
      <c r="A2" s="26" t="inlineStr">
        <is>
          <t>🗂 공문은 평가 1건에 하나라 진행자가 올립니다. 36번을 먼저 하고, «상신함»이 오면 38번부터 합니다. 상신하면 바로 «결재완료»(내부 처리)로 끝납니다 — 온나라로 가지 않습니다.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111" customHeight="1">
      <c r="A4" s="28" t="n">
        <v>36</v>
      </c>
      <c r="B4" s="3" t="inlineStr">
        <is>
          <t>QA박안전5(재난안전과)</t>
        </is>
      </c>
      <c r="C4" s="3" t="inlineStr">
        <is>
          <t>위험성평가 &gt; 정기 위험성평가</t>
        </is>
      </c>
      <c r="D4" s="11" t="inlineStr">
        <is>
          <t>결재선 — 같은 사람을 두 번 못 넣는다</t>
        </is>
      </c>
      <c r="E4" s="3" t="inlineStr">
        <is>
          <t>① [공문 기안]
② 결재선의 검토·결재 [조직도]에서 같은 사람을 두 번 고른다
③ 한 칸을 비운 채 [문서 미리보기 →]로 가서 [온나라로 결재 상신]을 눌러 본다
④ 상신하지 않고 창을 닫는다
⑤ 단체방에 «결재선 확인 끝»</t>
        </is>
      </c>
      <c r="F4" s="3" t="inlineStr">
        <is>
          <t>이미 고른 사람과 기안자(QA박안전5)는 흐리게 보이고 고를 수 없다. 칸이 비면 상신이 막히고 이유가 나온다</t>
        </is>
      </c>
      <c r="G4" s="29" t="n"/>
      <c r="H4" s="7" t="n"/>
      <c r="I4" s="7" t="n"/>
    </row>
    <row r="5" ht="51" customHeight="1">
      <c r="A5" s="28" t="n">
        <v>38</v>
      </c>
      <c r="B5" s="30" t="inlineStr">
        <is>
          <t>QA박안전5(재난안전과)</t>
        </is>
      </c>
      <c r="C5" s="30" t="inlineStr">
        <is>
          <t>위험성평가 &gt; 정기 위험성평가</t>
        </is>
      </c>
      <c r="D5" s="11" t="inlineStr">
        <is>
          <t>상신 뒤에는 잠긴다</t>
        </is>
      </c>
      <c r="E5" s="3" t="inlineStr">
        <is>
          <t>«상신함»이 오면 ① 내 부서 상세에서 확인한 건을 확인 취소·반려해 본다
② 단체방에 «잠김 확인 끝»</t>
        </is>
      </c>
      <c r="F5" s="3" t="inlineStr">
        <is>
          <t>할 수 없고 잠긴 이유가 나온다</t>
        </is>
      </c>
      <c r="G5" s="29" t="n"/>
      <c r="H5" s="7" t="n"/>
      <c r="I5" s="7" t="n"/>
    </row>
    <row r="6" ht="36" customHeight="1">
      <c r="A6" s="28" t="n">
        <v>39</v>
      </c>
      <c r="B6" s="3" t="inlineStr">
        <is>
          <t>QA하정수5(담당 공무원)</t>
        </is>
      </c>
      <c r="C6" s="30" t="inlineStr">
        <is>
          <t>위험성평가 &gt; 정기 위험성평가</t>
        </is>
      </c>
      <c r="D6" s="11" t="inlineStr">
        <is>
          <t>담당 공무원에게는 공문 버튼이 없다</t>
        </is>
      </c>
      <c r="E6" s="3" t="inlineStr">
        <is>
          <t>QA하정수5 창에서 같은 화면을 본다</t>
        </is>
      </c>
      <c r="F6" s="3" t="inlineStr">
        <is>
          <t>[공문 기안]·[온나라로 결재 상신]이 없다</t>
        </is>
      </c>
      <c r="G6" s="29" t="n"/>
      <c r="H6" s="7" t="n"/>
      <c r="I6" s="7" t="n"/>
    </row>
    <row r="7" ht="36" customHeight="1">
      <c r="A7" s="28" t="n">
        <v>41</v>
      </c>
      <c r="B7" s="3" t="inlineStr">
        <is>
          <t>QA박안전5(재난안전과)</t>
        </is>
      </c>
      <c r="C7" s="30" t="inlineStr">
        <is>
          <t>위험성평가 &gt; 정기 위험성평가</t>
        </is>
      </c>
      <c r="D7" s="11" t="inlineStr">
        <is>
          <t>끝난 평가</t>
        </is>
      </c>
      <c r="E7" s="3" t="inlineStr">
        <is>
          <t>«결재 완료 확인»이 오면 새로고침 → [결재 상태]를 연다</t>
        </is>
      </c>
      <c r="F7" s="3" t="inlineStr">
        <is>
          <t>평가가 끝난 상태로 보이고 결재 상태가 결재완료 · «내부 처리»다</t>
        </is>
      </c>
      <c r="G7" s="29" t="n"/>
      <c r="H7" s="7" t="n"/>
      <c r="I7" s="7" t="n"/>
    </row>
    <row r="8" ht="51" customHeight="1">
      <c r="A8" s="28" t="n">
        <v>42</v>
      </c>
      <c r="B8" s="30" t="inlineStr">
        <is>
          <t>QA박안전5(재난안전과)</t>
        </is>
      </c>
      <c r="C8" s="30" t="inlineStr">
        <is>
          <t>위험성평가 &gt; 정기 위험성평가</t>
        </is>
      </c>
      <c r="D8" s="11" t="inlineStr">
        <is>
          <t>지난 평가 둘러보기</t>
        </is>
      </c>
      <c r="E8" s="3" t="inlineStr">
        <is>
          <t>① 연도를 2025로 바꾼다
② [문서 보기]·[결재 상태]·부서 상세를 연다
③ 설문조사표 파일 이름을 누른다</t>
        </is>
      </c>
      <c r="F8" s="3" t="inlineStr">
        <is>
          <t>창이 잘 열린다. 파일은 열리거나 «…연계 후 제공됩니다» 안내가 뜬다. 2025년 자료가 없으면 «확인 불가»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5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5 수시평가</t>
        </is>
      </c>
    </row>
    <row r="2" ht="24" customHeight="1">
      <c r="A2" s="26" t="inlineStr">
        <is>
          <t>🗂 각자 따로, 순서와 상관없이 해도 됩니다. 수시 위험성평가는 부서가 사유가 생겨 올리고 재난안전과 확인 단계가 없습니다. 다른 사람 것과 구분하려고 내용 앞에 내 이름을 붙입니다.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43</v>
      </c>
      <c r="B4" s="3" t="inlineStr">
        <is>
          <t>QA하정수5(담당 공무원)</t>
        </is>
      </c>
      <c r="C4" s="3" t="inlineStr">
        <is>
          <t>위험성평가 &gt; 수시 위험성평가</t>
        </is>
      </c>
      <c r="D4" s="11" t="inlineStr">
        <is>
          <t>등록은 실시 사유부터</t>
        </is>
      </c>
      <c r="E4" s="3" t="inlineStr">
        <is>
          <t>[＋ 수시평가 등록]</t>
        </is>
      </c>
      <c r="F4" s="3" t="inlineStr">
        <is>
          <t>실시 사유를 먼저 고르게 하고, 부서는 내 부서(보건소)로 고정돼 있다</t>
        </is>
      </c>
      <c r="G4" s="29" t="n"/>
      <c r="H4" s="7" t="n"/>
      <c r="I4" s="7" t="n"/>
    </row>
    <row r="5" ht="36" customHeight="1">
      <c r="A5" s="28" t="n">
        <v>44</v>
      </c>
      <c r="B5" s="3" t="inlineStr">
        <is>
          <t>QA박안전5(재난안전과)</t>
        </is>
      </c>
      <c r="C5" s="30" t="inlineStr">
        <is>
          <t>위험성평가 &gt; 수시 위험성평가</t>
        </is>
      </c>
      <c r="D5" s="11" t="inlineStr">
        <is>
          <t>재난안전과 담당자는 부서를 고를 수 있다</t>
        </is>
      </c>
      <c r="E5" s="3" t="inlineStr">
        <is>
          <t>같은 등록 창을 연다 → [취소]</t>
        </is>
      </c>
      <c r="F5" s="3" t="inlineStr">
        <is>
          <t>조직도로 부서를 고를 수 있다</t>
        </is>
      </c>
      <c r="G5" s="29" t="n"/>
      <c r="H5" s="7" t="n"/>
      <c r="I5" s="7" t="n"/>
    </row>
    <row r="6" ht="51" customHeight="1">
      <c r="A6" s="28" t="n">
        <v>45</v>
      </c>
      <c r="B6" s="3" t="inlineStr">
        <is>
          <t>QA하정수5(담당 공무원)</t>
        </is>
      </c>
      <c r="C6" s="30" t="inlineStr">
        <is>
          <t>위험성평가 &gt; 수시 위험성평가</t>
        </is>
      </c>
      <c r="D6" s="11" t="inlineStr">
        <is>
          <t>빈 칸이 있으면 등록되지 않는다</t>
        </is>
      </c>
      <c r="E6" s="3" t="inlineStr">
        <is>
          <t>① 발생일·내용을 비우고 [등록]
② 채우고 유해위험요인·감소대책을 비우고 [등록]</t>
        </is>
      </c>
      <c r="F6" s="3" t="inlineStr">
        <is>
          <t>«부서·사유·발생일·내용을 모두 입력하세요.» / «유해위험요인과 위험성 감소대책을 최소 1건 입력하세요.»로 막힌다</t>
        </is>
      </c>
      <c r="G6" s="29" t="n"/>
      <c r="H6" s="7" t="n"/>
      <c r="I6" s="7" t="n"/>
    </row>
    <row r="7" ht="81" customHeight="1">
      <c r="A7" s="28" t="n">
        <v>46</v>
      </c>
      <c r="B7" s="30" t="inlineStr">
        <is>
          <t>QA하정수5(담당 공무원)</t>
        </is>
      </c>
      <c r="C7" s="30" t="inlineStr">
        <is>
          <t>위험성평가 &gt; 수시 위험성평가</t>
        </is>
      </c>
      <c r="D7" s="11" t="inlineStr">
        <is>
          <t>재해 사유면 칸이 더 생긴다</t>
        </is>
      </c>
      <c r="E7" s="3" t="inlineStr">
        <is>
          <t>① 사유를 «중대산업사고 또는 산업재해 발생»으로
② 재해 개요·작업 재개 예정일을 비우고 [등록]
③ 사유를 바꿨다가 되돌린다</t>
        </is>
      </c>
      <c r="F7" s="3" t="inlineStr">
        <is>
          <t>두 칸이 생기고 비우면 막힌다. 사유를 바꿔도 적은 값이 남아 있다</t>
        </is>
      </c>
      <c r="G7" s="29" t="n"/>
      <c r="H7" s="7" t="n"/>
      <c r="I7" s="7" t="n"/>
    </row>
    <row r="8" ht="51" customHeight="1">
      <c r="A8" s="28" t="n">
        <v>47</v>
      </c>
      <c r="B8" s="30" t="inlineStr">
        <is>
          <t>QA하정수5(담당 공무원)</t>
        </is>
      </c>
      <c r="C8" s="30" t="inlineStr">
        <is>
          <t>위험성평가 &gt; 수시 위험성평가</t>
        </is>
      </c>
      <c r="D8" s="11" t="inlineStr">
        <is>
          <t>요인 행 추가·삭제</t>
        </is>
      </c>
      <c r="E8" s="3" t="inlineStr">
        <is>
          <t>① 행을 10개까지 추가하고 한 번 더
② 1개만 남기고 삭제해 본다
③ 개선 전 사진을 첨부한다</t>
        </is>
      </c>
      <c r="F8" s="3" t="inlineStr">
        <is>
          <t>«한 번에 최대 10건까지…» «최소 1건은 있어야 합니다…»가 뜬다. 사진은 «개선 전 사진 N건 첨부»</t>
        </is>
      </c>
      <c r="G8" s="29" t="n"/>
      <c r="H8" s="7" t="n"/>
      <c r="I8" s="7" t="n"/>
    </row>
    <row r="9" ht="36" customHeight="1">
      <c r="A9" s="28" t="n">
        <v>48</v>
      </c>
      <c r="B9" s="30" t="inlineStr">
        <is>
          <t>QA하정수5(담당 공무원)</t>
        </is>
      </c>
      <c r="C9" s="30" t="inlineStr">
        <is>
          <t>위험성평가 &gt; 수시 위험성평가</t>
        </is>
      </c>
      <c r="D9" s="11" t="inlineStr">
        <is>
          <t>등록하면 개선조치가 생긴다</t>
        </is>
      </c>
      <c r="E9" s="3" t="inlineStr">
        <is>
          <t>내용 «김유석_설비변경작업», 요인 2건으로 [등록] → 내 할일 확인</t>
        </is>
      </c>
      <c r="F9" s="3" t="inlineStr">
        <is>
          <t>«수시평가 등록 · 개선조치 2건 생성…»이 뜨고 내 할일에 개선조치 2건이 생긴다</t>
        </is>
      </c>
      <c r="G9" s="29" t="n"/>
      <c r="H9" s="7" t="n"/>
      <c r="I9" s="7" t="n"/>
    </row>
    <row r="10" ht="66" customHeight="1">
      <c r="A10" s="28" t="n">
        <v>49</v>
      </c>
      <c r="B10" s="3" t="inlineStr">
        <is>
          <t>QA박안전5(재난안전과)</t>
        </is>
      </c>
      <c r="C10" s="30" t="inlineStr">
        <is>
          <t>위험성평가 &gt; 수시 위험성평가</t>
        </is>
      </c>
      <c r="D10" s="11" t="inlineStr">
        <is>
          <t>안전관리자 검토파일</t>
        </is>
      </c>
      <c r="E10" s="3" t="inlineStr">
        <is>
          <t>48번의 «김유석_설비변경작업» 건에서 ① [＋ 검토파일 등록]
② 파일명 비우고 → 검토자 이름 비우고 → 다 채워서 등록</t>
        </is>
      </c>
      <c r="F10" s="3" t="inlineStr">
        <is>
          <t>빈 칸이면 막히고, 다 채우면 «… 검토완료 처리»와 함께 상태가 «검토 완료»</t>
        </is>
      </c>
      <c r="G10" s="29" t="n"/>
      <c r="H10" s="7" t="n"/>
      <c r="I10" s="7" t="n"/>
    </row>
    <row r="11" ht="36" customHeight="1">
      <c r="A11" s="28" t="n">
        <v>50</v>
      </c>
      <c r="B11" s="3" t="inlineStr">
        <is>
          <t>QA하정수5(담당 공무원)</t>
        </is>
      </c>
      <c r="C11" s="30" t="inlineStr">
        <is>
          <t>위험성평가 &gt; 수시 위험성평가</t>
        </is>
      </c>
      <c r="D11" s="11" t="inlineStr">
        <is>
          <t>검토파일은 재난안전과만</t>
        </is>
      </c>
      <c r="E11" s="3" t="inlineStr">
        <is>
          <t>같은 건을 본다</t>
        </is>
      </c>
      <c r="F11" s="3" t="inlineStr">
        <is>
          <t>[＋ 검토파일 등록]이 없거나, 누르면 «… 재난안전과 담당자가 첨부합니다»로 막힌다</t>
        </is>
      </c>
      <c r="G11" s="29" t="n"/>
      <c r="H11" s="7" t="n"/>
      <c r="I11" s="7" t="n"/>
    </row>
    <row r="12" ht="36" customHeight="1">
      <c r="A12" s="28" t="n">
        <v>51</v>
      </c>
      <c r="B12" s="3" t="inlineStr">
        <is>
          <t>QA박안전5(재난안전과)</t>
        </is>
      </c>
      <c r="C12" s="30" t="inlineStr">
        <is>
          <t>위험성평가 &gt; 수시 위험성평가</t>
        </is>
      </c>
      <c r="D12" s="11" t="inlineStr">
        <is>
          <t>검토파일 해제는 한 번 더 묻는다</t>
        </is>
      </c>
      <c r="E12" s="3" t="inlineStr">
        <is>
          <t>[해제] → [취소] → 다시 [해제] → 확인</t>
        </is>
      </c>
      <c r="F12" s="3" t="inlineStr">
        <is>
          <t>바로 지우지 않고 확인 창이 뜬다. 확인하면 «검토파일 삭제 · 검토완료 해제»</t>
        </is>
      </c>
      <c r="G12" s="29" t="n"/>
      <c r="H12" s="7" t="n"/>
      <c r="I12" s="7" t="n"/>
    </row>
    <row r="13" ht="36" customHeight="1">
      <c r="A13" s="28" t="n">
        <v>52</v>
      </c>
      <c r="B13" s="3" t="inlineStr">
        <is>
          <t>QA하정수5(담당 공무원)</t>
        </is>
      </c>
      <c r="C13" s="30" t="inlineStr">
        <is>
          <t>위험성평가 &gt; 수시 위험성평가</t>
        </is>
      </c>
      <c r="D13" s="11" t="inlineStr">
        <is>
          <t>수시평가 개선조치 완료</t>
        </is>
      </c>
      <c r="E13" s="3" t="inlineStr">
        <is>
          <t>[조치 상세]에서 사진·내용·서명을 넣고 완료</t>
        </is>
      </c>
      <c r="F13" s="3" t="inlineStr">
        <is>
          <t>완료된다(수시평가는 재난안전과 확인 단계가 없다 — 정상)</t>
        </is>
      </c>
      <c r="G13" s="29" t="n"/>
      <c r="H13" s="7" t="n"/>
      <c r="I13" s="7" t="n"/>
    </row>
    <row r="14" ht="36" customHeight="1">
      <c r="A14" s="28" t="n">
        <v>53</v>
      </c>
      <c r="B14" s="3" t="inlineStr">
        <is>
          <t>QA박안전5(재난안전과)</t>
        </is>
      </c>
      <c r="C14" s="30" t="inlineStr">
        <is>
          <t>위험성평가 &gt; 수시 위험성평가</t>
        </is>
      </c>
      <c r="D14" s="11" t="inlineStr">
        <is>
          <t>목록 조건</t>
        </is>
      </c>
      <c r="E14" s="3" t="inlineStr">
        <is>
          <t>연도·실시 사유 조건을 건다 → 목록과 [조치 상세]를 비교</t>
        </is>
      </c>
      <c r="F14" s="3" t="inlineStr">
        <is>
          <t>조건대로 걸러지고 목록과 상세 내용이 같다. 다른 사람이 올린 건도 보인다(정상)</t>
        </is>
      </c>
      <c r="G14" s="29" t="n"/>
      <c r="H14" s="7" t="n"/>
      <c r="I14" s="7" t="n"/>
    </row>
    <row r="15" ht="51" customHeight="1">
      <c r="A15" s="28" t="n">
        <v>54</v>
      </c>
      <c r="B15" s="3" t="inlineStr">
        <is>
          <t>QA하정수5(담당 공무원) → QA박안전5(재난안전과)</t>
        </is>
      </c>
      <c r="C15" s="30" t="inlineStr">
        <is>
          <t>위험성평가 &gt; 수시 위험성평가</t>
        </is>
      </c>
      <c r="D15" s="11" t="inlineStr">
        <is>
          <t>누가 무엇을 보나</t>
        </is>
      </c>
      <c r="E15" s="3" t="inlineStr">
        <is>
          <t>두 창에서 목록을 본다</t>
        </is>
      </c>
      <c r="F15" s="3" t="inlineStr">
        <is>
          <t>QA하정수5 계정에는 내 부서 건만 보이고 다른 사람이 올린 건은 없다. QA박안전5 계정에는 전부 보인다</t>
        </is>
      </c>
      <c r="G15" s="29" t="n"/>
      <c r="H15" s="7" t="n"/>
      <c r="I15" s="7" t="n"/>
    </row>
  </sheetData>
  <autoFilter ref="A3:I15"/>
  <mergeCells count="2">
    <mergeCell ref="A1:I1"/>
    <mergeCell ref="A2:I2"/>
  </mergeCells>
  <conditionalFormatting sqref="G4:G15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5">
    <cfRule type="expression" priority="7" dxfId="7">
      <formula>AND(OR($G4="실패",$G4="오류",$G4="문의"),$H4="")</formula>
    </cfRule>
  </conditionalFormatting>
  <dataValidations count="1">
    <dataValidation sqref="G4:G15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위험성평가</t>
        </is>
      </c>
    </row>
    <row r="3">
      <c r="A3" t="inlineStr">
        <is>
          <t>담당자</t>
        </is>
      </c>
      <c r="B3" t="inlineStr">
        <is>
          <t>김유석</t>
        </is>
      </c>
    </row>
    <row r="4">
      <c r="A4" t="inlineStr">
        <is>
          <t>파일 코드</t>
        </is>
      </c>
      <c r="B4" t="inlineStr">
        <is>
          <t>RA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2026-09-30T00:30:18Z</dcterms:created>
  <dcterms:modified xmlns:dcterms="http://purl.org/dc/terms/" xmlns:xsi="http://www.w3.org/2001/XMLSchema-instance" xsi:type="dcterms:W3CDTF">2026-09-30T00:30:18Z</dcterms:modified>
</cp:coreProperties>
</file>