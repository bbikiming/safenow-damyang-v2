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 위험성평가" sheetId="3" state="visible" r:id="rId3"/>
    <sheet xmlns:r="http://schemas.openxmlformats.org/officeDocument/2006/relationships" name="2 수시 위험성평가" sheetId="4" state="visible" r:id="rId4"/>
    <sheet xmlns:r="http://schemas.openxmlformats.org/officeDocument/2006/relationships" name="3 근로자 명단" sheetId="5" state="visible" r:id="rId5"/>
    <sheet xmlns:r="http://schemas.openxmlformats.org/officeDocument/2006/relationships" name="4 정기교육(현업·관리감독자)" sheetId="6" state="visible" r:id="rId6"/>
    <sheet xmlns:r="http://schemas.openxmlformats.org/officeDocument/2006/relationships" name="5 채용시·기타 교육" sheetId="7" state="visible" r:id="rId7"/>
    <sheet xmlns:r="http://schemas.openxmlformats.org/officeDocument/2006/relationships" name="6 이수현황·결재 이력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정기 위험성평가'!$A$3:$I$10</definedName>
    <definedName name="_xlnm.Print_Titles" localSheetId="2">'1 정기 위험성평가'!$3:$3</definedName>
    <definedName name="_xlnm._FilterDatabase" localSheetId="3" hidden="1">'2 수시 위험성평가'!$A$3:$I$11</definedName>
    <definedName name="_xlnm.Print_Titles" localSheetId="3">'2 수시 위험성평가'!$3:$3</definedName>
    <definedName name="_xlnm._FilterDatabase" localSheetId="4" hidden="1">'3 근로자 명단'!$A$3:$I$10</definedName>
    <definedName name="_xlnm.Print_Titles" localSheetId="4">'3 근로자 명단'!$3:$3</definedName>
    <definedName name="_xlnm._FilterDatabase" localSheetId="5" hidden="1">'4 정기교육(현업·관리감독자)'!$A$3:$I$14</definedName>
    <definedName name="_xlnm.Print_Titles" localSheetId="5">'4 정기교육(현업·관리감독자)'!$3:$3</definedName>
    <definedName name="_xlnm._FilterDatabase" localSheetId="6" hidden="1">'5 채용시·기타 교육'!$A$3:$I$12</definedName>
    <definedName name="_xlnm.Print_Titles" localSheetId="6">'5 채용시·기타 교육'!$3:$3</definedName>
    <definedName name="_xlnm._FilterDatabase" localSheetId="7" hidden="1">'6 이수현황·결재 이력'!$A$3:$I$8</definedName>
    <definedName name="_xlnm.Print_Titles" localSheetId="7">'6 이수현황·결재 이력'!$3:$3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위험성평가·교육 메뉴 · 하늘</t>
        </is>
      </c>
    </row>
    <row r="3" ht="22" customHeight="1">
      <c r="A3" s="2" t="inlineStr">
        <is>
          <t>메뉴</t>
        </is>
      </c>
      <c r="B3" s="3" t="inlineStr">
        <is>
          <t>위험성평가·교육 메뉴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하늘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QA박안전7 (재난안전과 담당자) · QA하정수7 (내 부서 공간재생과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위험성평가 2개 · 안전보건교육 9개 메뉴를 하나씩 열어 만들기(C) · 보기(R) · 고치기(U) · 지우기(D)를 해 봅니다. 모든 데이터는 «하늘_…»으로 만들고 내 것만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47줄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정기 위험성평가 → 2 수시 위험성평가 → 3 근로자 명단 → 4 정기교육(현업·관리감독자) → 5 채용시·기타 교육 → 6 이수현황·결재 이력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QA박안전7(재난안전과), 시크릿 창(Ctrl + Shift + N · 맥 Cmd + Shift + N)에는 QA하정수7(담당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QA박안전7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QA하정수7</t>
        </is>
      </c>
      <c r="B40" s="3" t="inlineStr">
        <is>
          <t>담당 공무원 (내 부서: 공간재생과)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«하늘_집합교육».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QA박안전7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위험성평가·교육 메뉴 · 하늘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 위험성평가</t>
        </is>
      </c>
      <c r="B5" s="21">
        <f>COUNTA('1 정기 위험성평가'!$A$4:$A$10)</f>
        <v>7</v>
      </c>
      <c r="C5" s="21">
        <f>COUNTIF('1 정기 위험성평가'!$G$4:$G$10,"성공")</f>
        <v>0</v>
      </c>
      <c r="D5" s="21">
        <f>COUNTIF('1 정기 위험성평가'!$G$4:$G$10,"실패")</f>
        <v>0</v>
      </c>
      <c r="E5" s="21">
        <f>COUNTIF('1 정기 위험성평가'!$G$4:$G$10,"오류")</f>
        <v>0</v>
      </c>
      <c r="F5" s="21">
        <f>COUNTIF('1 정기 위험성평가'!$G$4:$G$10,"보류")</f>
        <v>0</v>
      </c>
      <c r="G5" s="21">
        <f>COUNTIF('1 정기 위험성평가'!$G$4:$G$10,"확인 불가")</f>
        <v>0</v>
      </c>
      <c r="H5" s="21">
        <f>COUNTIF('1 정기 위험성평가'!$G$4:$G$10,"문의")</f>
        <v>0</v>
      </c>
      <c r="I5" s="21">
        <f>COUNTBLANK('1 정기 위험성평가'!$G$4:$G$10)</f>
        <v>7</v>
      </c>
      <c r="J5" s="22">
        <f>IF(B5=0,0,(B5-I5)/B5)</f>
        <v>0</v>
      </c>
    </row>
    <row r="6" ht="22" customHeight="1">
      <c r="A6" s="20" t="inlineStr">
        <is>
          <t>2 수시 위험성평가</t>
        </is>
      </c>
      <c r="B6" s="21">
        <f>COUNTA('2 수시 위험성평가'!$A$4:$A$11)</f>
        <v>8</v>
      </c>
      <c r="C6" s="21">
        <f>COUNTIF('2 수시 위험성평가'!$G$4:$G$11,"성공")</f>
        <v>0</v>
      </c>
      <c r="D6" s="21">
        <f>COUNTIF('2 수시 위험성평가'!$G$4:$G$11,"실패")</f>
        <v>0</v>
      </c>
      <c r="E6" s="21">
        <f>COUNTIF('2 수시 위험성평가'!$G$4:$G$11,"오류")</f>
        <v>0</v>
      </c>
      <c r="F6" s="21">
        <f>COUNTIF('2 수시 위험성평가'!$G$4:$G$11,"보류")</f>
        <v>0</v>
      </c>
      <c r="G6" s="21">
        <f>COUNTIF('2 수시 위험성평가'!$G$4:$G$11,"확인 불가")</f>
        <v>0</v>
      </c>
      <c r="H6" s="21">
        <f>COUNTIF('2 수시 위험성평가'!$G$4:$G$11,"문의")</f>
        <v>0</v>
      </c>
      <c r="I6" s="21">
        <f>COUNTBLANK('2 수시 위험성평가'!$G$4:$G$11)</f>
        <v>8</v>
      </c>
      <c r="J6" s="22">
        <f>IF(B6=0,0,(B6-I6)/B6)</f>
        <v>0</v>
      </c>
    </row>
    <row r="7" ht="22" customHeight="1">
      <c r="A7" s="20" t="inlineStr">
        <is>
          <t>3 근로자 명단</t>
        </is>
      </c>
      <c r="B7" s="21">
        <f>COUNTA('3 근로자 명단'!$A$4:$A$10)</f>
        <v>7</v>
      </c>
      <c r="C7" s="21">
        <f>COUNTIF('3 근로자 명단'!$G$4:$G$10,"성공")</f>
        <v>0</v>
      </c>
      <c r="D7" s="21">
        <f>COUNTIF('3 근로자 명단'!$G$4:$G$10,"실패")</f>
        <v>0</v>
      </c>
      <c r="E7" s="21">
        <f>COUNTIF('3 근로자 명단'!$G$4:$G$10,"오류")</f>
        <v>0</v>
      </c>
      <c r="F7" s="21">
        <f>COUNTIF('3 근로자 명단'!$G$4:$G$10,"보류")</f>
        <v>0</v>
      </c>
      <c r="G7" s="21">
        <f>COUNTIF('3 근로자 명단'!$G$4:$G$10,"확인 불가")</f>
        <v>0</v>
      </c>
      <c r="H7" s="21">
        <f>COUNTIF('3 근로자 명단'!$G$4:$G$10,"문의")</f>
        <v>0</v>
      </c>
      <c r="I7" s="21">
        <f>COUNTBLANK('3 근로자 명단'!$G$4:$G$10)</f>
        <v>7</v>
      </c>
      <c r="J7" s="22">
        <f>IF(B7=0,0,(B7-I7)/B7)</f>
        <v>0</v>
      </c>
    </row>
    <row r="8" ht="22" customHeight="1">
      <c r="A8" s="20" t="inlineStr">
        <is>
          <t>4 정기교육(현업·관리감독자)</t>
        </is>
      </c>
      <c r="B8" s="21">
        <f>COUNTA('4 정기교육(현업·관리감독자)'!$A$4:$A$14)</f>
        <v>11</v>
      </c>
      <c r="C8" s="21">
        <f>COUNTIF('4 정기교육(현업·관리감독자)'!$G$4:$G$14,"성공")</f>
        <v>0</v>
      </c>
      <c r="D8" s="21">
        <f>COUNTIF('4 정기교육(현업·관리감독자)'!$G$4:$G$14,"실패")</f>
        <v>0</v>
      </c>
      <c r="E8" s="21">
        <f>COUNTIF('4 정기교육(현업·관리감독자)'!$G$4:$G$14,"오류")</f>
        <v>0</v>
      </c>
      <c r="F8" s="21">
        <f>COUNTIF('4 정기교육(현업·관리감독자)'!$G$4:$G$14,"보류")</f>
        <v>0</v>
      </c>
      <c r="G8" s="21">
        <f>COUNTIF('4 정기교육(현업·관리감독자)'!$G$4:$G$14,"확인 불가")</f>
        <v>0</v>
      </c>
      <c r="H8" s="21">
        <f>COUNTIF('4 정기교육(현업·관리감독자)'!$G$4:$G$14,"문의")</f>
        <v>0</v>
      </c>
      <c r="I8" s="21">
        <f>COUNTBLANK('4 정기교육(현업·관리감독자)'!$G$4:$G$14)</f>
        <v>11</v>
      </c>
      <c r="J8" s="22">
        <f>IF(B8=0,0,(B8-I8)/B8)</f>
        <v>0</v>
      </c>
    </row>
    <row r="9" ht="22" customHeight="1">
      <c r="A9" s="20" t="inlineStr">
        <is>
          <t>5 채용시·기타 교육</t>
        </is>
      </c>
      <c r="B9" s="21">
        <f>COUNTA('5 채용시·기타 교육'!$A$4:$A$12)</f>
        <v>9</v>
      </c>
      <c r="C9" s="21">
        <f>COUNTIF('5 채용시·기타 교육'!$G$4:$G$12,"성공")</f>
        <v>0</v>
      </c>
      <c r="D9" s="21">
        <f>COUNTIF('5 채용시·기타 교육'!$G$4:$G$12,"실패")</f>
        <v>0</v>
      </c>
      <c r="E9" s="21">
        <f>COUNTIF('5 채용시·기타 교육'!$G$4:$G$12,"오류")</f>
        <v>0</v>
      </c>
      <c r="F9" s="21">
        <f>COUNTIF('5 채용시·기타 교육'!$G$4:$G$12,"보류")</f>
        <v>0</v>
      </c>
      <c r="G9" s="21">
        <f>COUNTIF('5 채용시·기타 교육'!$G$4:$G$12,"확인 불가")</f>
        <v>0</v>
      </c>
      <c r="H9" s="21">
        <f>COUNTIF('5 채용시·기타 교육'!$G$4:$G$12,"문의")</f>
        <v>0</v>
      </c>
      <c r="I9" s="21">
        <f>COUNTBLANK('5 채용시·기타 교육'!$G$4:$G$12)</f>
        <v>9</v>
      </c>
      <c r="J9" s="22">
        <f>IF(B9=0,0,(B9-I9)/B9)</f>
        <v>0</v>
      </c>
    </row>
    <row r="10" ht="22" customHeight="1">
      <c r="A10" s="20" t="inlineStr">
        <is>
          <t>6 이수현황·결재 이력</t>
        </is>
      </c>
      <c r="B10" s="21">
        <f>COUNTA('6 이수현황·결재 이력'!$A$4:$A$8)</f>
        <v>5</v>
      </c>
      <c r="C10" s="21">
        <f>COUNTIF('6 이수현황·결재 이력'!$G$4:$G$8,"성공")</f>
        <v>0</v>
      </c>
      <c r="D10" s="21">
        <f>COUNTIF('6 이수현황·결재 이력'!$G$4:$G$8,"실패")</f>
        <v>0</v>
      </c>
      <c r="E10" s="21">
        <f>COUNTIF('6 이수현황·결재 이력'!$G$4:$G$8,"오류")</f>
        <v>0</v>
      </c>
      <c r="F10" s="21">
        <f>COUNTIF('6 이수현황·결재 이력'!$G$4:$G$8,"보류")</f>
        <v>0</v>
      </c>
      <c r="G10" s="21">
        <f>COUNTIF('6 이수현황·결재 이력'!$G$4:$G$8,"확인 불가")</f>
        <v>0</v>
      </c>
      <c r="H10" s="21">
        <f>COUNTIF('6 이수현황·결재 이력'!$G$4:$G$8,"문의")</f>
        <v>0</v>
      </c>
      <c r="I10" s="21">
        <f>COUNTBLANK('6 이수현황·결재 이력'!$G$4:$G$8)</f>
        <v>5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47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47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위험성평가·교육 메뉴 — 1 정기 위험성평가</t>
        </is>
      </c>
    </row>
    <row r="2" ht="24" customHeight="1">
      <c r="A2" s="26" t="inlineStr">
        <is>
          <t>🗂 한 해 1건을 6명이 함께 쓰는 평가라 만들기·지우기는 하지 않습니다. 보기(R)와 권한 차이만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QA박안전7(재난안전과)</t>
        </is>
      </c>
      <c r="C4" s="3" t="inlineStr">
        <is>
          <t>위험성평가 &gt; 정기 위험성평가</t>
        </is>
      </c>
      <c r="D4" s="17" t="inlineStr">
        <is>
          <t>R 연도 바꾸기</t>
        </is>
      </c>
      <c r="E4" s="3" t="inlineStr">
        <is>
          <t>연도를 2025 → 2026 으로 바꾼다</t>
        </is>
      </c>
      <c r="F4" s="3" t="inlineStr">
        <is>
          <t>연도마다 요약과 표가 바뀐다. 평가가 없으면 등록되지 않았다는 안내(정상)</t>
        </is>
      </c>
      <c r="G4" s="29" t="n"/>
      <c r="H4" s="7" t="n"/>
      <c r="I4" s="7" t="n"/>
    </row>
    <row r="5" ht="36" customHeight="1">
      <c r="A5" s="28" t="n">
        <v>2</v>
      </c>
      <c r="B5" s="30" t="inlineStr">
        <is>
          <t>QA박안전7(재난안전과)</t>
        </is>
      </c>
      <c r="C5" s="30" t="inlineStr">
        <is>
          <t>위험성평가 &gt; 정기 위험성평가</t>
        </is>
      </c>
      <c r="D5" s="17" t="inlineStr">
        <is>
          <t>R 요약 숫자</t>
        </is>
      </c>
      <c r="E5" s="3" t="inlineStr">
        <is>
          <t>위 요약 숫자와 아래 부서 표를 비교한다</t>
        </is>
      </c>
      <c r="F5" s="3" t="inlineStr">
        <is>
          <t>요약 숫자가 표 내용과 맞다</t>
        </is>
      </c>
      <c r="G5" s="29" t="n"/>
      <c r="H5" s="7" t="n"/>
      <c r="I5" s="7" t="n"/>
    </row>
    <row r="6" ht="36" customHeight="1">
      <c r="A6" s="28" t="n">
        <v>3</v>
      </c>
      <c r="B6" s="30" t="inlineStr">
        <is>
          <t>QA박안전7(재난안전과)</t>
        </is>
      </c>
      <c r="C6" s="30" t="inlineStr">
        <is>
          <t>위험성평가 &gt; 정기 위험성평가</t>
        </is>
      </c>
      <c r="D6" s="17" t="inlineStr">
        <is>
          <t>R 탭 이동</t>
        </is>
      </c>
      <c r="E6" s="3" t="inlineStr">
        <is>
          <t>부서별 조치 · 이력 등 탭을 하나씩 누른다</t>
        </is>
      </c>
      <c r="F6" s="3" t="inlineStr">
        <is>
          <t>탭마다 내용이 바뀌고 오류가 없다</t>
        </is>
      </c>
      <c r="G6" s="29" t="n"/>
      <c r="H6" s="7" t="n"/>
      <c r="I6" s="7" t="n"/>
    </row>
    <row r="7" ht="36" customHeight="1">
      <c r="A7" s="28" t="n">
        <v>4</v>
      </c>
      <c r="B7" s="30" t="inlineStr">
        <is>
          <t>QA박안전7(재난안전과)</t>
        </is>
      </c>
      <c r="C7" s="30" t="inlineStr">
        <is>
          <t>위험성평가 &gt; 정기 위험성평가</t>
        </is>
      </c>
      <c r="D7" s="17" t="inlineStr">
        <is>
          <t>R 부서 상세</t>
        </is>
      </c>
      <c r="E7" s="3" t="inlineStr">
        <is>
          <t>부서 줄 하나를 눌러 상세를 열고 닫는다</t>
        </is>
      </c>
      <c r="F7" s="3" t="inlineStr">
        <is>
          <t>개선조치 카드가 보이고, 닫으면 목록으로 돌아온다</t>
        </is>
      </c>
      <c r="G7" s="29" t="n"/>
      <c r="H7" s="7" t="n"/>
      <c r="I7" s="7" t="n"/>
    </row>
    <row r="8" ht="36" customHeight="1">
      <c r="A8" s="28" t="n">
        <v>5</v>
      </c>
      <c r="B8" s="30" t="inlineStr">
        <is>
          <t>QA박안전7(재난안전과)</t>
        </is>
      </c>
      <c r="C8" s="30" t="inlineStr">
        <is>
          <t>위험성평가 &gt; 정기 위험성평가</t>
        </is>
      </c>
      <c r="D8" s="17" t="inlineStr">
        <is>
          <t>R 파일 이름 누르기</t>
        </is>
      </c>
      <c r="E8" s="3" t="inlineStr">
        <is>
          <t>설문조사표·보고서 파일 이름을 누른다</t>
        </is>
      </c>
      <c r="F8" s="3" t="inlineStr">
        <is>
          <t>파일이 열리거나 «…연계 후 제공됩니다» 안내가 뜬다</t>
        </is>
      </c>
      <c r="G8" s="29" t="n"/>
      <c r="H8" s="7" t="n"/>
      <c r="I8" s="7" t="n"/>
    </row>
    <row r="9" ht="51" customHeight="1">
      <c r="A9" s="28" t="n">
        <v>6</v>
      </c>
      <c r="B9" s="30" t="inlineStr">
        <is>
          <t>QA박안전7(재난안전과)</t>
        </is>
      </c>
      <c r="C9" s="30" t="inlineStr">
        <is>
          <t>위험성평가 &gt; 정기 위험성평가</t>
        </is>
      </c>
      <c r="D9" s="17" t="inlineStr">
        <is>
          <t>R 만들기 창만 열기</t>
        </is>
      </c>
      <c r="E9" s="3" t="inlineStr">
        <is>
          <t>[＋ 정기평가 생성]이 보이면 눌러 부서 목록을 보고 [취소]</t>
        </is>
      </c>
      <c r="F9" s="3" t="inlineStr">
        <is>
          <t>부서를 고르는 창이 뜨고, 취소하면 아무것도 생기지 않는다. 이미 평가가 있으면 버튼이 없다(정상)</t>
        </is>
      </c>
      <c r="G9" s="29" t="n"/>
      <c r="H9" s="7" t="n"/>
      <c r="I9" s="7" t="n"/>
    </row>
    <row r="10" ht="36" customHeight="1">
      <c r="A10" s="28" t="n">
        <v>7</v>
      </c>
      <c r="B10" s="3" t="inlineStr">
        <is>
          <t>QA하정수7(담당 공무원)</t>
        </is>
      </c>
      <c r="C10" s="30" t="inlineStr">
        <is>
          <t>위험성평가 &gt; 정기 위험성평가</t>
        </is>
      </c>
      <c r="D10" s="17" t="inlineStr">
        <is>
          <t>권한 — 담당 공무원</t>
        </is>
      </c>
      <c r="E10" s="3" t="inlineStr">
        <is>
          <t>QA하정수7 창에서 같은 메뉴를 연다</t>
        </is>
      </c>
      <c r="F10" s="3" t="inlineStr">
        <is>
          <t>[＋ 정기평가 생성]이 없고 부서별 조치 표에 내 부서(공간재생과) 줄만 보인다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위험성평가·교육 메뉴 — 2 수시 위험성평가</t>
        </is>
      </c>
    </row>
    <row r="2" ht="24" customHeight="1">
      <c r="A2" s="26" t="inlineStr">
        <is>
          <t>🗂 내 부서 건을 만들고(C) · 보고(R) · 조치를 완료하고(U) · 검토파일을 붙였다 뗍니다. 내용 앞에 «하늘_»을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8</v>
      </c>
      <c r="B4" s="3" t="inlineStr">
        <is>
          <t>QA하정수7(담당 공무원)</t>
        </is>
      </c>
      <c r="C4" s="3" t="inlineStr">
        <is>
          <t>위험성평가 &gt; 수시 위험성평가</t>
        </is>
      </c>
      <c r="D4" s="17" t="inlineStr">
        <is>
          <t>C 빈 칸이면 막힌다</t>
        </is>
      </c>
      <c r="E4" s="3" t="inlineStr">
        <is>
          <t>[＋ 수시평가 등록] → 아무것도 안 넣고 [등록]</t>
        </is>
      </c>
      <c r="F4" s="3" t="inlineStr">
        <is>
          <t>필수 칸을 채우라는 안내가 뜨고 등록되지 않는다</t>
        </is>
      </c>
      <c r="G4" s="29" t="n"/>
      <c r="H4" s="7" t="n"/>
      <c r="I4" s="7" t="n"/>
    </row>
    <row r="5" ht="51" customHeight="1">
      <c r="A5" s="28" t="n">
        <v>9</v>
      </c>
      <c r="B5" s="30" t="inlineStr">
        <is>
          <t>QA하정수7(담당 공무원)</t>
        </is>
      </c>
      <c r="C5" s="30" t="inlineStr">
        <is>
          <t>위험성평가 &gt; 수시 위험성평가</t>
        </is>
      </c>
      <c r="D5" s="17" t="inlineStr">
        <is>
          <t>C 수시평가 등록</t>
        </is>
      </c>
      <c r="E5" s="3" t="inlineStr">
        <is>
          <t>사유 하나 · 발생일 오늘 · 내용 «하늘_수시점검» · 유해위험요인 1건과 감소대책을 넣고 [등록]</t>
        </is>
      </c>
      <c r="F5" s="3" t="inlineStr">
        <is>
          <t>등록되고 목록 맨 위에 생긴다. 부서는 내 부서(공간재생과)다</t>
        </is>
      </c>
      <c r="G5" s="29" t="n"/>
      <c r="H5" s="7" t="n"/>
      <c r="I5" s="7" t="n"/>
    </row>
    <row r="6" ht="36" customHeight="1">
      <c r="A6" s="28" t="n">
        <v>10</v>
      </c>
      <c r="B6" s="30" t="inlineStr">
        <is>
          <t>QA하정수7(담당 공무원)</t>
        </is>
      </c>
      <c r="C6" s="30" t="inlineStr">
        <is>
          <t>위험성평가 &gt; 수시 위험성평가</t>
        </is>
      </c>
      <c r="D6" s="17" t="inlineStr">
        <is>
          <t>R 목록·상세</t>
        </is>
      </c>
      <c r="E6" s="3" t="inlineStr">
        <is>
          <t>① 검색창에 «하늘»
② 방금 건의 [조치 상세]를 연다</t>
        </is>
      </c>
      <c r="F6" s="3" t="inlineStr">
        <is>
          <t>내 건만 걸러지고 상세에 적은 내용이 그대로 보인다</t>
        </is>
      </c>
      <c r="G6" s="29" t="n"/>
      <c r="H6" s="7" t="n"/>
      <c r="I6" s="7" t="n"/>
    </row>
    <row r="7" ht="36" customHeight="1">
      <c r="A7" s="28" t="n">
        <v>11</v>
      </c>
      <c r="B7" s="30" t="inlineStr">
        <is>
          <t>QA하정수7(담당 공무원)</t>
        </is>
      </c>
      <c r="C7" s="3" t="inlineStr">
        <is>
          <t>대시보드 &gt; 내 할일</t>
        </is>
      </c>
      <c r="D7" s="17" t="inlineStr">
        <is>
          <t>R 내 할일에 생긴다</t>
        </is>
      </c>
      <c r="E7" s="3" t="inlineStr">
        <is>
          <t>내 할일에서 방금 건의 개선조치를 찾는다</t>
        </is>
      </c>
      <c r="F7" s="3" t="inlineStr">
        <is>
          <t>개선조치 1건이 할 일로 떠 있다</t>
        </is>
      </c>
      <c r="G7" s="29" t="n"/>
      <c r="H7" s="7" t="n"/>
      <c r="I7" s="7" t="n"/>
    </row>
    <row r="8" ht="36" customHeight="1">
      <c r="A8" s="28" t="n">
        <v>12</v>
      </c>
      <c r="B8" s="30" t="inlineStr">
        <is>
          <t>QA하정수7(담당 공무원)</t>
        </is>
      </c>
      <c r="C8" s="3" t="inlineStr">
        <is>
          <t>위험성평가 &gt; 수시 위험성평가</t>
        </is>
      </c>
      <c r="D8" s="17" t="inlineStr">
        <is>
          <t>U 조치 완료</t>
        </is>
      </c>
      <c r="E8" s="3" t="inlineStr">
        <is>
          <t>[조치 상세]에서 사진·조치 내용·서명을 넣고 완료</t>
        </is>
      </c>
      <c r="F8" s="3" t="inlineStr">
        <is>
          <t>완료된다(수시평가는 재난안전과 확인 단계가 없다 — 정상)</t>
        </is>
      </c>
      <c r="G8" s="29" t="n"/>
      <c r="H8" s="7" t="n"/>
      <c r="I8" s="7" t="n"/>
    </row>
    <row r="9" ht="36" customHeight="1">
      <c r="A9" s="28" t="n">
        <v>13</v>
      </c>
      <c r="B9" s="3" t="inlineStr">
        <is>
          <t>QA박안전7(재난안전과)</t>
        </is>
      </c>
      <c r="C9" s="30" t="inlineStr">
        <is>
          <t>위험성평가 &gt; 수시 위험성평가</t>
        </is>
      </c>
      <c r="D9" s="17" t="inlineStr">
        <is>
          <t>U 검토파일 붙이기</t>
        </is>
      </c>
      <c r="E9" s="3" t="inlineStr">
        <is>
          <t>같은 건에서 [＋ 검토파일 등록] → 파일명·검토자 이름을 넣고 등록</t>
        </is>
      </c>
      <c r="F9" s="3" t="inlineStr">
        <is>
          <t>상태가 «검토 완료»로 바뀐다</t>
        </is>
      </c>
      <c r="G9" s="29" t="n"/>
      <c r="H9" s="7" t="n"/>
      <c r="I9" s="7" t="n"/>
    </row>
    <row r="10" ht="36" customHeight="1">
      <c r="A10" s="28" t="n">
        <v>14</v>
      </c>
      <c r="B10" s="30" t="inlineStr">
        <is>
          <t>QA박안전7(재난안전과)</t>
        </is>
      </c>
      <c r="C10" s="30" t="inlineStr">
        <is>
          <t>위험성평가 &gt; 수시 위험성평가</t>
        </is>
      </c>
      <c r="D10" s="17" t="inlineStr">
        <is>
          <t>D 검토파일 떼기</t>
        </is>
      </c>
      <c r="E10" s="3" t="inlineStr">
        <is>
          <t>[해제] → 확인 창에서 [취소] → 다시 [해제] → 확인</t>
        </is>
      </c>
      <c r="F10" s="3" t="inlineStr">
        <is>
          <t>바로 지우지 않고 한 번 묻는다. 확인하면 검토 완료가 풀린다</t>
        </is>
      </c>
      <c r="G10" s="29" t="n"/>
      <c r="H10" s="7" t="n"/>
      <c r="I10" s="7" t="n"/>
    </row>
    <row r="11" ht="36" customHeight="1">
      <c r="A11" s="28" t="n">
        <v>15</v>
      </c>
      <c r="B11" s="3" t="inlineStr">
        <is>
          <t>QA하정수7(담당 공무원)</t>
        </is>
      </c>
      <c r="C11" s="30" t="inlineStr">
        <is>
          <t>위험성평가 &gt; 수시 위험성평가</t>
        </is>
      </c>
      <c r="D11" s="17" t="inlineStr">
        <is>
          <t>권한 — 검토파일은 재난안전과만</t>
        </is>
      </c>
      <c r="E11" s="3" t="inlineStr">
        <is>
          <t>QA하정수7 창에서 같은 건을 본다</t>
        </is>
      </c>
      <c r="F11" s="3" t="inlineStr">
        <is>
          <t>[＋ 검토파일 등록]이 없거나 눌러도 막힌다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위험성평가·교육 메뉴 — 3 근로자 명단</t>
        </is>
      </c>
    </row>
    <row r="2" ht="24" customHeight="1">
      <c r="A2" s="26" t="inlineStr">
        <is>
          <t>🗂 내 근로자를 만들고 고치고 지웁니다. 이름은 «하늘_…»로 만듭니다.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16</v>
      </c>
      <c r="B4" s="3" t="inlineStr">
        <is>
          <t>QA박안전7(재난안전과)</t>
        </is>
      </c>
      <c r="C4" s="3" t="inlineStr">
        <is>
          <t>안전보건교육 &gt; 교육 현황·관리 &gt; 근로자 명단 관리</t>
        </is>
      </c>
      <c r="D4" s="17" t="inlineStr">
        <is>
          <t>C 빈 칸이면 막힌다</t>
        </is>
      </c>
      <c r="E4" s="3" t="inlineStr">
        <is>
          <t>[＋ 직접 등록] → 이름을 비우고 [등록] → [취소]</t>
        </is>
      </c>
      <c r="F4" s="3" t="inlineStr">
        <is>
          <t>이름을 넣으라는 안내가 뜨고 등록되지 않는다</t>
        </is>
      </c>
      <c r="G4" s="29" t="n"/>
      <c r="H4" s="7" t="n"/>
      <c r="I4" s="7" t="n"/>
    </row>
    <row r="5" ht="66" customHeight="1">
      <c r="A5" s="28" t="n">
        <v>17</v>
      </c>
      <c r="B5" s="30" t="inlineStr">
        <is>
          <t>QA박안전7(재난안전과)</t>
        </is>
      </c>
      <c r="C5" s="30" t="inlineStr">
        <is>
          <t>안전보건교육 &gt; 교육 현황·관리 &gt; 근로자 명단 관리</t>
        </is>
      </c>
      <c r="D5" s="17" t="inlineStr">
        <is>
          <t>C 근로자 등록</t>
        </is>
      </c>
      <c r="E5" s="3" t="inlineStr">
        <is>
          <t>[＋ 직접 등록] → 이름 «하늘_근로자1» · 부서 내 부서(공간재생과) · 구분 현업 · 고용형태 기간제 · 채용일 오늘 · 계약기간 6 → [등록]</t>
        </is>
      </c>
      <c r="F5" s="3" t="inlineStr">
        <is>
          <t>등록되고 목록에 보인다</t>
        </is>
      </c>
      <c r="G5" s="29" t="n"/>
      <c r="H5" s="7" t="n"/>
      <c r="I5" s="7" t="n"/>
    </row>
    <row r="6" ht="36" customHeight="1">
      <c r="A6" s="28" t="n">
        <v>18</v>
      </c>
      <c r="B6" s="30" t="inlineStr">
        <is>
          <t>QA박안전7(재난안전과)</t>
        </is>
      </c>
      <c r="C6" s="30" t="inlineStr">
        <is>
          <t>안전보건교육 &gt; 교육 현황·관리 &gt; 근로자 명단 관리</t>
        </is>
      </c>
      <c r="D6" s="17" t="inlineStr">
        <is>
          <t>R 조건 걸기</t>
        </is>
      </c>
      <c r="E6" s="3" t="inlineStr">
        <is>
          <t>검색 «하늘» · 부서 · 구분 조건을 걸었다가 [필터 초기화]</t>
        </is>
      </c>
      <c r="F6" s="3" t="inlineStr">
        <is>
          <t>내 근로자만 걸러지고 초기화하면 돌아온다</t>
        </is>
      </c>
      <c r="G6" s="29" t="n"/>
      <c r="H6" s="7" t="n"/>
      <c r="I6" s="7" t="n"/>
    </row>
    <row r="7" ht="36" customHeight="1">
      <c r="A7" s="28" t="n">
        <v>19</v>
      </c>
      <c r="B7" s="30" t="inlineStr">
        <is>
          <t>QA박안전7(재난안전과)</t>
        </is>
      </c>
      <c r="C7" s="30" t="inlineStr">
        <is>
          <t>안전보건교육 &gt; 교육 현황·관리 &gt; 근로자 명단 관리</t>
        </is>
      </c>
      <c r="D7" s="17" t="inlineStr">
        <is>
          <t>U 수정</t>
        </is>
      </c>
      <c r="E7" s="3" t="inlineStr">
        <is>
          <t>«하늘_근로자1» [수정] → 이름 끝에 «_수정» → [저장] → 다시 원래 이름으로 [저장]</t>
        </is>
      </c>
      <c r="F7" s="3" t="inlineStr">
        <is>
          <t>두 번 모두 저장되고 목록 이름이 바뀐다</t>
        </is>
      </c>
      <c r="G7" s="29" t="n"/>
      <c r="H7" s="7" t="n"/>
      <c r="I7" s="7" t="n"/>
    </row>
    <row r="8" ht="66" customHeight="1">
      <c r="A8" s="28" t="n">
        <v>20</v>
      </c>
      <c r="B8" s="30" t="inlineStr">
        <is>
          <t>QA박안전7(재난안전과)</t>
        </is>
      </c>
      <c r="C8" s="30" t="inlineStr">
        <is>
          <t>안전보건교육 &gt; 교육 현황·관리 &gt; 근로자 명단 관리</t>
        </is>
      </c>
      <c r="D8" s="17" t="inlineStr">
        <is>
          <t>C 관리감독자 등록·지정일</t>
        </is>
      </c>
      <c r="E8" s="3" t="inlineStr">
        <is>
          <t>① 이름 «하늘_감독자» · 구분 관리감독자로 등록
② 그 줄 [지정일 등록] → 내일 날짜 [저장]
③ 오늘로 [저장]</t>
        </is>
      </c>
      <c r="F8" s="3" t="inlineStr">
        <is>
          <t>② 미래 날짜는 막힌다(저장되면 «실패») ③ 지정일에 오늘이 보인다</t>
        </is>
      </c>
      <c r="G8" s="29" t="n"/>
      <c r="H8" s="7" t="n"/>
      <c r="I8" s="7" t="n"/>
    </row>
    <row r="9" ht="36" customHeight="1">
      <c r="A9" s="28" t="n">
        <v>21</v>
      </c>
      <c r="B9" s="30" t="inlineStr">
        <is>
          <t>QA박안전7(재난안전과)</t>
        </is>
      </c>
      <c r="C9" s="30" t="inlineStr">
        <is>
          <t>안전보건교육 &gt; 교육 현황·관리 &gt; 근로자 명단 관리</t>
        </is>
      </c>
      <c r="D9" s="17" t="inlineStr">
        <is>
          <t>D 삭제</t>
        </is>
      </c>
      <c r="E9" s="3" t="inlineStr">
        <is>
          <t>«하늘_근로자2»를 등록한 뒤 그 줄 [삭제] → 확인 창 → [삭제]</t>
        </is>
      </c>
      <c r="F9" s="3" t="inlineStr">
        <is>
          <t>한 번 묻고, 삭제하면 목록에서 사라진다</t>
        </is>
      </c>
      <c r="G9" s="29" t="n"/>
      <c r="H9" s="7" t="n"/>
      <c r="I9" s="7" t="n"/>
    </row>
    <row r="10" ht="36" customHeight="1">
      <c r="A10" s="28" t="n">
        <v>22</v>
      </c>
      <c r="B10" s="3" t="inlineStr">
        <is>
          <t>QA하정수7(담당 공무원)</t>
        </is>
      </c>
      <c r="C10" s="30" t="inlineStr">
        <is>
          <t>안전보건교육 &gt; 교육 현황·관리 &gt; 근로자 명단 관리</t>
        </is>
      </c>
      <c r="D10" s="17" t="inlineStr">
        <is>
          <t>권한 — 담당 공무원</t>
        </is>
      </c>
      <c r="E10" s="3" t="inlineStr">
        <is>
          <t>QA하정수7 창에서 [＋ 직접 등록]을 열고 [취소]. 관리감독자 줄의 [지정일 등록]을 찾는다</t>
        </is>
      </c>
      <c r="F10" s="3" t="inlineStr">
        <is>
          <t>부서가 내 부서로 고정돼 있다. [지정일 등록]은 없다(재난안전과만)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위험성평가·교육 메뉴 — 4 정기교육(현업·관리감독자)</t>
        </is>
      </c>
    </row>
    <row r="2" ht="24" customHeight="1">
      <c r="A2" s="26" t="inlineStr">
        <is>
          <t>🗂 내 집합교육을 만들고 → 참석자를 내고 → 고치고 → 종료하고 → 지웁니다.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23</v>
      </c>
      <c r="B4" s="3" t="inlineStr">
        <is>
          <t>QA박안전7(재난안전과)</t>
        </is>
      </c>
      <c r="C4" s="3" t="inlineStr">
        <is>
          <t>안전보건교육 &gt; 현업근로자 &gt; 정기교육</t>
        </is>
      </c>
      <c r="D4" s="17" t="inlineStr">
        <is>
          <t>C 빈 칸이면 막힌다</t>
        </is>
      </c>
      <c r="E4" s="3" t="inlineStr">
        <is>
          <t>[＋ 집합교육 등록] → 빈 채로 [등록] → [취소]</t>
        </is>
      </c>
      <c r="F4" s="3" t="inlineStr">
        <is>
          <t>교육 내용을 넣으라는 안내가 뜬다</t>
        </is>
      </c>
      <c r="G4" s="29" t="n"/>
      <c r="H4" s="7" t="n"/>
      <c r="I4" s="7" t="n"/>
    </row>
    <row r="5" ht="36" customHeight="1">
      <c r="A5" s="28" t="n">
        <v>24</v>
      </c>
      <c r="B5" s="30" t="inlineStr">
        <is>
          <t>QA박안전7(재난안전과)</t>
        </is>
      </c>
      <c r="C5" s="30" t="inlineStr">
        <is>
          <t>안전보건교육 &gt; 현업근로자 &gt; 정기교육</t>
        </is>
      </c>
      <c r="D5" s="17" t="inlineStr">
        <is>
          <t>C 집합교육 등록</t>
        </is>
      </c>
      <c r="E5" s="3" t="inlineStr">
        <is>
          <t>[＋ 집합교육 등록] → 내용 «하늘_집합교육» · 오늘 · 14:00~16:00 · 강사·장소 → [등록]</t>
        </is>
      </c>
      <c r="F5" s="3" t="inlineStr">
        <is>
          <t>카드가 생기고 시간이 2h로 계산된다</t>
        </is>
      </c>
      <c r="G5" s="29" t="n"/>
      <c r="H5" s="7" t="n"/>
      <c r="I5" s="7" t="n"/>
    </row>
    <row r="6" ht="51" customHeight="1">
      <c r="A6" s="28" t="n">
        <v>25</v>
      </c>
      <c r="B6" s="30" t="inlineStr">
        <is>
          <t>QA박안전7(재난안전과)</t>
        </is>
      </c>
      <c r="C6" s="30" t="inlineStr">
        <is>
          <t>안전보건교육 &gt; 현업근로자 &gt; 정기교육</t>
        </is>
      </c>
      <c r="D6" s="17" t="inlineStr">
        <is>
          <t>R 목록·상세</t>
        </is>
      </c>
      <c r="E6" s="3" t="inlineStr">
        <is>
          <t>① 조건 «하늘»
② 카드의 [상세 →]를 연다
③ 뒤로</t>
        </is>
      </c>
      <c r="F6" s="3" t="inlineStr">
        <is>
          <t>내 교육만 걸러지고 상세가 열린다</t>
        </is>
      </c>
      <c r="G6" s="29" t="n"/>
      <c r="H6" s="7" t="n"/>
      <c r="I6" s="7" t="n"/>
    </row>
    <row r="7" ht="36" customHeight="1">
      <c r="A7" s="28" t="n">
        <v>26</v>
      </c>
      <c r="B7" s="30" t="inlineStr">
        <is>
          <t>QA박안전7(재난안전과)</t>
        </is>
      </c>
      <c r="C7" s="30" t="inlineStr">
        <is>
          <t>안전보건교육 &gt; 현업근로자 &gt; 정기교육</t>
        </is>
      </c>
      <c r="D7" s="17" t="inlineStr">
        <is>
          <t>U 수정</t>
        </is>
      </c>
      <c r="E7" s="3" t="inlineStr">
        <is>
          <t>카드 [수정] → 종료 시각 17:00 → [저장]</t>
        </is>
      </c>
      <c r="F7" s="3" t="inlineStr">
        <is>
          <t>저장되고 시간이 3h로 바뀐다</t>
        </is>
      </c>
      <c r="G7" s="29" t="n"/>
      <c r="H7" s="7" t="n"/>
      <c r="I7" s="7" t="n"/>
    </row>
    <row r="8" ht="51" customHeight="1">
      <c r="A8" s="28" t="n">
        <v>27</v>
      </c>
      <c r="B8" s="3" t="inlineStr">
        <is>
          <t>QA하정수7(담당 공무원)</t>
        </is>
      </c>
      <c r="C8" s="30" t="inlineStr">
        <is>
          <t>안전보건교육 &gt; 현업근로자 &gt; 정기교육</t>
        </is>
      </c>
      <c r="D8" s="17" t="inlineStr">
        <is>
          <t>C 참석자 등록부</t>
        </is>
      </c>
      <c r="E8" s="3" t="inlineStr">
        <is>
          <t>«하늘_집합교육» 상세 → [＋ 참석자 등록부 등록] → 3번 시트의 «하늘_근로자1» 체크 · 서명파일 첨부 → [신청 완료]</t>
        </is>
      </c>
      <c r="F8" s="3" t="inlineStr">
        <is>
          <t>내 부서 1명 신청이 표에 생긴다</t>
        </is>
      </c>
      <c r="G8" s="29" t="n"/>
      <c r="H8" s="7" t="n"/>
      <c r="I8" s="7" t="n"/>
    </row>
    <row r="9" ht="36" customHeight="1">
      <c r="A9" s="28" t="n">
        <v>28</v>
      </c>
      <c r="B9" s="30" t="inlineStr">
        <is>
          <t>QA하정수7(담당 공무원)</t>
        </is>
      </c>
      <c r="C9" s="30" t="inlineStr">
        <is>
          <t>안전보건교육 &gt; 현업근로자 &gt; 정기교육</t>
        </is>
      </c>
      <c r="D9" s="17" t="inlineStr">
        <is>
          <t>C 같은 부서 두 번</t>
        </is>
      </c>
      <c r="E9" s="3" t="inlineStr">
        <is>
          <t>같은 상세에서 한 번 더 신청</t>
        </is>
      </c>
      <c r="F9" s="3" t="inlineStr">
        <is>
          <t>이미 등록된 부서라며 막힌다</t>
        </is>
      </c>
      <c r="G9" s="29" t="n"/>
      <c r="H9" s="7" t="n"/>
      <c r="I9" s="7" t="n"/>
    </row>
    <row r="10" ht="36" customHeight="1">
      <c r="A10" s="28" t="n">
        <v>29</v>
      </c>
      <c r="B10" s="30" t="inlineStr">
        <is>
          <t>QA하정수7(담당 공무원)</t>
        </is>
      </c>
      <c r="C10" s="30" t="inlineStr">
        <is>
          <t>안전보건교육 &gt; 현업근로자 &gt; 정기교육</t>
        </is>
      </c>
      <c r="D10" s="17" t="inlineStr">
        <is>
          <t>D 신청 취소 후 다시</t>
        </is>
      </c>
      <c r="E10" s="3" t="inlineStr">
        <is>
          <t>내 부서 줄 [신청 취소] → 확인 → 다시 신청</t>
        </is>
      </c>
      <c r="F10" s="3" t="inlineStr">
        <is>
          <t>취소하면 줄이 빠지고 다시 신청하면 돌아온다</t>
        </is>
      </c>
      <c r="G10" s="29" t="n"/>
      <c r="H10" s="7" t="n"/>
      <c r="I10" s="7" t="n"/>
    </row>
    <row r="11" ht="36" customHeight="1">
      <c r="A11" s="28" t="n">
        <v>30</v>
      </c>
      <c r="B11" s="3" t="inlineStr">
        <is>
          <t>QA박안전7(재난안전과)</t>
        </is>
      </c>
      <c r="C11" s="30" t="inlineStr">
        <is>
          <t>안전보건교육 &gt; 현업근로자 &gt; 정기교육</t>
        </is>
      </c>
      <c r="D11" s="17" t="inlineStr">
        <is>
          <t>U 교육 종료</t>
        </is>
      </c>
      <c r="E11" s="3" t="inlineStr">
        <is>
          <t>상세 → [교육 종료 처리] → 확인</t>
        </is>
      </c>
      <c r="F11" s="3" t="inlineStr">
        <is>
          <t>상태가 완료로 바뀌고 이수 인원이 반영된다</t>
        </is>
      </c>
      <c r="G11" s="29" t="n"/>
      <c r="H11" s="7" t="n"/>
      <c r="I11" s="7" t="n"/>
    </row>
    <row r="12" ht="36" customHeight="1">
      <c r="A12" s="28" t="n">
        <v>31</v>
      </c>
      <c r="B12" s="30" t="inlineStr">
        <is>
          <t>QA박안전7(재난안전과)</t>
        </is>
      </c>
      <c r="C12" s="30" t="inlineStr">
        <is>
          <t>안전보건교육 &gt; 현업근로자 &gt; 정기교육</t>
        </is>
      </c>
      <c r="D12" s="17" t="inlineStr">
        <is>
          <t>D 교육 삭제</t>
        </is>
      </c>
      <c r="E12" s="3" t="inlineStr">
        <is>
          <t>«하늘_삭제용» 집합교육을 하나 더 등록 → [삭제] → 확인</t>
        </is>
      </c>
      <c r="F12" s="3" t="inlineStr">
        <is>
          <t>지울 신청·기록 건수를 알려 주고 삭제된다</t>
        </is>
      </c>
      <c r="G12" s="29" t="n"/>
      <c r="H12" s="7" t="n"/>
      <c r="I12" s="7" t="n"/>
    </row>
    <row r="13" ht="51" customHeight="1">
      <c r="A13" s="28" t="n">
        <v>32</v>
      </c>
      <c r="B13" s="3" t="inlineStr">
        <is>
          <t>QA하정수7(담당 공무원)</t>
        </is>
      </c>
      <c r="C13" s="30" t="inlineStr">
        <is>
          <t>안전보건교육 &gt; 현업근로자 &gt; 정기교육</t>
        </is>
      </c>
      <c r="D13" s="17" t="inlineStr">
        <is>
          <t>C 자체교육</t>
        </is>
      </c>
      <c r="E13" s="3" t="inlineStr">
        <is>
          <t>[자체교육 (부서)] → [＋ 자체교육 등록·진행] → 내용 «하늘_자체교육» · 대상자 «하늘_근로자1» · 증빙 → [진행 처리]</t>
        </is>
      </c>
      <c r="F13" s="3" t="inlineStr">
        <is>
          <t>부서가 내 부서로 고정되고 교육이 생긴다</t>
        </is>
      </c>
      <c r="G13" s="29" t="n"/>
      <c r="H13" s="7" t="n"/>
      <c r="I13" s="7" t="n"/>
    </row>
    <row r="14" ht="36" customHeight="1">
      <c r="A14" s="28" t="n">
        <v>33</v>
      </c>
      <c r="B14" s="3" t="inlineStr">
        <is>
          <t>QA박안전7(재난안전과)</t>
        </is>
      </c>
      <c r="C14" s="3" t="inlineStr">
        <is>
          <t>안전보건교육 &gt; 관리감독자 &gt; 정기교육</t>
        </is>
      </c>
      <c r="D14" s="17" t="inlineStr">
        <is>
          <t>C·D 관리감독자 정기교육</t>
        </is>
      </c>
      <c r="E14" s="3" t="inlineStr">
        <is>
          <t>«하늘_감독자교육»을 등록 → 목록 확인 → [삭제]</t>
        </is>
      </c>
      <c r="F14" s="3" t="inlineStr">
        <is>
          <t>등록되고 목록에 보이며 삭제된다</t>
        </is>
      </c>
      <c r="G14" s="29" t="n"/>
      <c r="H14" s="7" t="n"/>
      <c r="I14" s="7" t="n"/>
    </row>
  </sheetData>
  <autoFilter ref="A3:I14"/>
  <mergeCells count="2">
    <mergeCell ref="A1:I1"/>
    <mergeCell ref="A2:I2"/>
  </mergeCells>
  <conditionalFormatting sqref="G4:G14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4">
    <cfRule type="expression" priority="7" dxfId="7">
      <formula>AND(OR($G4="실패",$G4="오류",$G4="문의"),$H4="")</formula>
    </cfRule>
  </conditionalFormatting>
  <dataValidations count="1">
    <dataValidation sqref="G4:G14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위험성평가·교육 메뉴 — 5 채용시·기타 교육</t>
        </is>
      </c>
    </row>
    <row r="2" ht="24" customHeight="1">
      <c r="A2" s="26" t="inlineStr">
        <is>
          <t>🗂 채용시 이수를 넣고 고치고 지웁니다. 기타 교육을 만들고 고치고 지웁니다.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34</v>
      </c>
      <c r="B4" s="3" t="inlineStr">
        <is>
          <t>QA박안전7(재난안전과)</t>
        </is>
      </c>
      <c r="C4" s="3" t="inlineStr">
        <is>
          <t>안전보건교육 &gt; 현업근로자 &gt; 채용시교육</t>
        </is>
      </c>
      <c r="D4" s="17" t="inlineStr">
        <is>
          <t>R 탭 세 개</t>
        </is>
      </c>
      <c r="E4" s="3" t="inlineStr">
        <is>
          <t>[전체] · [미이수] · [이수]를 차례로 누른다</t>
        </is>
      </c>
      <c r="F4" s="3" t="inlineStr">
        <is>
          <t>탭이 셋이고 «하늘_근로자1»이 미이수에 있다(4번 시트 종료 전이면)</t>
        </is>
      </c>
      <c r="G4" s="29" t="n"/>
      <c r="H4" s="7" t="n"/>
      <c r="I4" s="7" t="n"/>
    </row>
    <row r="5" ht="51" customHeight="1">
      <c r="A5" s="28" t="n">
        <v>35</v>
      </c>
      <c r="B5" s="30" t="inlineStr">
        <is>
          <t>QA박안전7(재난안전과)</t>
        </is>
      </c>
      <c r="C5" s="30" t="inlineStr">
        <is>
          <t>안전보건교육 &gt; 현업근로자 &gt; 채용시교육</t>
        </is>
      </c>
      <c r="D5" s="17" t="inlineStr">
        <is>
          <t>C 채용시 교육 추가</t>
        </is>
      </c>
      <c r="E5" s="3" t="inlineStr">
        <is>
          <t>[＋ 채용시 교육 추가] → «하늘_근로자1» 체크 · 09:00~17:00 · 내용 «하늘_채용시» · 증빙 → [교육기록 등록]</t>
        </is>
      </c>
      <c r="F5" s="3" t="inlineStr">
        <is>
          <t>이수 탭으로 옮겨 가고 상태가 이수다</t>
        </is>
      </c>
      <c r="G5" s="29" t="n"/>
      <c r="H5" s="7" t="n"/>
      <c r="I5" s="7" t="n"/>
    </row>
    <row r="6" ht="36" customHeight="1">
      <c r="A6" s="28" t="n">
        <v>36</v>
      </c>
      <c r="B6" s="30" t="inlineStr">
        <is>
          <t>QA박안전7(재난안전과)</t>
        </is>
      </c>
      <c r="C6" s="30" t="inlineStr">
        <is>
          <t>안전보건교육 &gt; 현업근로자 &gt; 채용시교육</t>
        </is>
      </c>
      <c r="D6" s="17" t="inlineStr">
        <is>
          <t>U 이수 수정</t>
        </is>
      </c>
      <c r="E6" s="3" t="inlineStr">
        <is>
          <t>그 줄 [이수 수정] → 이수일을 어제로 [저장]</t>
        </is>
      </c>
      <c r="F6" s="3" t="inlineStr">
        <is>
          <t>이수일이 바뀐다</t>
        </is>
      </c>
      <c r="G6" s="29" t="n"/>
      <c r="H6" s="7" t="n"/>
      <c r="I6" s="7" t="n"/>
    </row>
    <row r="7" ht="36" customHeight="1">
      <c r="A7" s="28" t="n">
        <v>37</v>
      </c>
      <c r="B7" s="30" t="inlineStr">
        <is>
          <t>QA박안전7(재난안전과)</t>
        </is>
      </c>
      <c r="C7" s="30" t="inlineStr">
        <is>
          <t>안전보건교육 &gt; 현업근로자 &gt; 채용시교육</t>
        </is>
      </c>
      <c r="D7" s="17" t="inlineStr">
        <is>
          <t>D 이수 기록 삭제</t>
        </is>
      </c>
      <c r="E7" s="3" t="inlineStr">
        <is>
          <t>다시 [이수 수정] → [이수 기록 삭제] → 확인</t>
        </is>
      </c>
      <c r="F7" s="3" t="inlineStr">
        <is>
          <t>미이수로 돌아간다</t>
        </is>
      </c>
      <c r="G7" s="29" t="n"/>
      <c r="H7" s="7" t="n"/>
      <c r="I7" s="7" t="n"/>
    </row>
    <row r="8" ht="51" customHeight="1">
      <c r="A8" s="28" t="n">
        <v>38</v>
      </c>
      <c r="B8" s="30" t="inlineStr">
        <is>
          <t>QA박안전7(재난안전과)</t>
        </is>
      </c>
      <c r="C8" s="3" t="inlineStr">
        <is>
          <t>안전보건교육 &gt; 현업근로자 &gt; 기타 교육</t>
        </is>
      </c>
      <c r="D8" s="17" t="inlineStr">
        <is>
          <t>C 기타 교육 등록</t>
        </is>
      </c>
      <c r="E8" s="3" t="inlineStr">
        <is>
          <t>[＋ 기타 교육 등록·진행] → 유형 «작업내용 변경» · 내용 «하늘_기타교육» · 대상자 «하늘_근로자1» · 시간 2 → [진행 처리]</t>
        </is>
      </c>
      <c r="F8" s="3" t="inlineStr">
        <is>
          <t>교육이 생기고 목록에 보인다</t>
        </is>
      </c>
      <c r="G8" s="29" t="n"/>
      <c r="H8" s="7" t="n"/>
      <c r="I8" s="7" t="n"/>
    </row>
    <row r="9" ht="36" customHeight="1">
      <c r="A9" s="28" t="n">
        <v>39</v>
      </c>
      <c r="B9" s="30" t="inlineStr">
        <is>
          <t>QA박안전7(재난안전과)</t>
        </is>
      </c>
      <c r="C9" s="30" t="inlineStr">
        <is>
          <t>안전보건교육 &gt; 현업근로자 &gt; 기타 교육</t>
        </is>
      </c>
      <c r="D9" s="17" t="inlineStr">
        <is>
          <t>U 수정</t>
        </is>
      </c>
      <c r="E9" s="3" t="inlineStr">
        <is>
          <t>그 카드 [수정] → 시간 3 → [저장]</t>
        </is>
      </c>
      <c r="F9" s="3" t="inlineStr">
        <is>
          <t>저장되고 이수 기록 시간도 바뀐다</t>
        </is>
      </c>
      <c r="G9" s="29" t="n"/>
      <c r="H9" s="7" t="n"/>
      <c r="I9" s="7" t="n"/>
    </row>
    <row r="10" ht="36" customHeight="1">
      <c r="A10" s="28" t="n">
        <v>40</v>
      </c>
      <c r="B10" s="30" t="inlineStr">
        <is>
          <t>QA박안전7(재난안전과)</t>
        </is>
      </c>
      <c r="C10" s="30" t="inlineStr">
        <is>
          <t>안전보건교육 &gt; 현업근로자 &gt; 기타 교육</t>
        </is>
      </c>
      <c r="D10" s="17" t="inlineStr">
        <is>
          <t>D 삭제</t>
        </is>
      </c>
      <c r="E10" s="3" t="inlineStr">
        <is>
          <t>그 카드 [삭제] → 확인</t>
        </is>
      </c>
      <c r="F10" s="3" t="inlineStr">
        <is>
          <t>회수되는 이수시간을 알려 주고 삭제된다</t>
        </is>
      </c>
      <c r="G10" s="29" t="n"/>
      <c r="H10" s="7" t="n"/>
      <c r="I10" s="7" t="n"/>
    </row>
    <row r="11" ht="36" customHeight="1">
      <c r="A11" s="28" t="n">
        <v>41</v>
      </c>
      <c r="B11" s="30" t="inlineStr">
        <is>
          <t>QA박안전7(재난안전과)</t>
        </is>
      </c>
      <c r="C11" s="3" t="inlineStr">
        <is>
          <t>안전보건교육 &gt; 관리감독자 &gt; 기타 교육</t>
        </is>
      </c>
      <c r="D11" s="17" t="inlineStr">
        <is>
          <t>R 유형 차이</t>
        </is>
      </c>
      <c r="E11" s="3" t="inlineStr">
        <is>
          <t>유형 목록을 현업근로자 기타 교육과 비교한다</t>
        </is>
      </c>
      <c r="F11" s="3" t="inlineStr">
        <is>
          <t>관리감독자 쪽에는 건설업 기초가 없다</t>
        </is>
      </c>
      <c r="G11" s="29" t="n"/>
      <c r="H11" s="7" t="n"/>
      <c r="I11" s="7" t="n"/>
    </row>
    <row r="12" ht="36" customHeight="1">
      <c r="A12" s="28" t="n">
        <v>42</v>
      </c>
      <c r="B12" s="30" t="inlineStr">
        <is>
          <t>QA박안전7(재난안전과)</t>
        </is>
      </c>
      <c r="C12" s="3" t="inlineStr">
        <is>
          <t>안전보건교육 &gt; 관리감독자 &gt; 채용시교육</t>
        </is>
      </c>
      <c r="D12" s="17" t="inlineStr">
        <is>
          <t>R 판정 불가</t>
        </is>
      </c>
      <c r="E12" s="3" t="inlineStr">
        <is>
          <t>탭을 차례로 본다</t>
        </is>
      </c>
      <c r="F12" s="3" t="inlineStr">
        <is>
          <t>지정일이 없는 사람은 어느 탭에도 없고 판정 불가라고 알려 준다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위험성평가·교육 메뉴 — 6 이수현황·결재 이력</t>
        </is>
      </c>
    </row>
    <row r="2" ht="24" customHeight="1">
      <c r="A2" s="26" t="inlineStr">
        <is>
          <t>🗂 만든 결과가 현황에 반영됐는지 보고, 공문을 올렸다가 확인합니다.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QA박안전7(재난안전과)</t>
        </is>
      </c>
      <c r="C4" s="3" t="inlineStr">
        <is>
          <t>안전보건교육 &gt; 교육 현황·관리 &gt; 이수현황</t>
        </is>
      </c>
      <c r="D4" s="17" t="inlineStr">
        <is>
          <t>R 요약·상세</t>
        </is>
      </c>
      <c r="E4" s="3" t="inlineStr">
        <is>
          <t>① 부서별 요약에서 내 부서 줄
② [대상자별 상세]에서 «하늘» 검색</t>
        </is>
      </c>
      <c r="F4" s="3" t="inlineStr">
        <is>
          <t>4·5번 시트에서 넣은 이수 기록이 반영돼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QA하정수7(담당 공무원)</t>
        </is>
      </c>
      <c r="C5" s="30" t="inlineStr">
        <is>
          <t>안전보건교육 &gt; 교육 현황·관리 &gt; 이수현황</t>
        </is>
      </c>
      <c r="D5" s="17" t="inlineStr">
        <is>
          <t>권한 — 남의 부서</t>
        </is>
      </c>
      <c r="E5" s="3" t="inlineStr">
        <is>
          <t>QA하정수7 창에서 같은 메뉴</t>
        </is>
      </c>
      <c r="F5" s="3" t="inlineStr">
        <is>
          <t>내 부서 것만 보이고 부서 조건에도 다른 부서가 없다</t>
        </is>
      </c>
      <c r="G5" s="29" t="n"/>
      <c r="H5" s="7" t="n"/>
      <c r="I5" s="7" t="n"/>
    </row>
    <row r="6" ht="66" customHeight="1">
      <c r="A6" s="28" t="n">
        <v>45</v>
      </c>
      <c r="B6" s="3" t="inlineStr">
        <is>
          <t>QA박안전7(재난안전과)</t>
        </is>
      </c>
      <c r="C6" s="3" t="inlineStr">
        <is>
          <t>안전보건교육 &gt; 현업근로자 &gt; 정기교육</t>
        </is>
      </c>
      <c r="D6" s="17" t="inlineStr">
        <is>
          <t>C 공문 상신</t>
        </is>
      </c>
      <c r="E6" s="3" t="inlineStr">
        <is>
          <t>종료한 «하늘_집합교육»의 [공문 기안] → 본문 직접 작성 → 결재선 검토·결재에 다른 사람의 박안전 계정 둘 → [문서 미리보기 →] → 상신</t>
        </is>
      </c>
      <c r="F6" s="3" t="inlineStr">
        <is>
          <t>바로 결재완료(내부 처리)가 되고 교육이 잠긴다</t>
        </is>
      </c>
      <c r="G6" s="29" t="n"/>
      <c r="H6" s="7" t="n"/>
      <c r="I6" s="7" t="n"/>
    </row>
    <row r="7" ht="36" customHeight="1">
      <c r="A7" s="28" t="n">
        <v>46</v>
      </c>
      <c r="B7" s="30" t="inlineStr">
        <is>
          <t>QA박안전7(재난안전과)</t>
        </is>
      </c>
      <c r="C7" s="30" t="inlineStr">
        <is>
          <t>안전보건교육 &gt; 현업근로자 &gt; 정기교육</t>
        </is>
      </c>
      <c r="D7" s="17" t="inlineStr">
        <is>
          <t>U 잠긴 뒤</t>
        </is>
      </c>
      <c r="E7" s="3" t="inlineStr">
        <is>
          <t>그 교육의 [수정]·[삭제]·신청 취소를 찾는다</t>
        </is>
      </c>
      <c r="F7" s="3" t="inlineStr">
        <is>
          <t>모두 잠겨 있다(잠금 표시)</t>
        </is>
      </c>
      <c r="G7" s="29" t="n"/>
      <c r="H7" s="7" t="n"/>
      <c r="I7" s="7" t="n"/>
    </row>
    <row r="8" ht="36" customHeight="1">
      <c r="A8" s="28" t="n">
        <v>47</v>
      </c>
      <c r="B8" s="30" t="inlineStr">
        <is>
          <t>QA박안전7(재난안전과)</t>
        </is>
      </c>
      <c r="C8" s="3" t="inlineStr">
        <is>
          <t>안전보건교육 &gt; 교육 현황·관리 &gt; 결재 이력</t>
        </is>
      </c>
      <c r="D8" s="17" t="inlineStr">
        <is>
          <t>R 결재 이력</t>
        </is>
      </c>
      <c r="E8" s="3" t="inlineStr">
        <is>
          <t>검색 «하늘_집합교육» → [문서]</t>
        </is>
      </c>
      <c r="F8" s="3" t="inlineStr">
        <is>
          <t>방금 공문이 결재완료로 있고 [문서]로 열린다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위험성평가·교육 메뉴</t>
        </is>
      </c>
    </row>
    <row r="3">
      <c r="A3" t="inlineStr">
        <is>
          <t>담당자</t>
        </is>
      </c>
      <c r="B3" t="inlineStr">
        <is>
          <t>하늘</t>
        </is>
      </c>
    </row>
    <row r="4">
      <c r="A4" t="inlineStr">
        <is>
          <t>파일 코드</t>
        </is>
      </c>
      <c r="B4" t="inlineStr">
        <is>
          <t>MN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