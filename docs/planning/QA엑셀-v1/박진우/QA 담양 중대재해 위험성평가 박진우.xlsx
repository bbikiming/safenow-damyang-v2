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정기평가 만들기" sheetId="3" state="visible" r:id="rId3"/>
    <sheet xmlns:r="http://schemas.openxmlformats.org/officeDocument/2006/relationships" name="2 설문조사표·보고서" sheetId="4" state="visible" r:id="rId4"/>
    <sheet xmlns:r="http://schemas.openxmlformats.org/officeDocument/2006/relationships" name="3 전달·조치·확인" sheetId="5" state="visible" r:id="rId5"/>
    <sheet xmlns:r="http://schemas.openxmlformats.org/officeDocument/2006/relationships" name="4 공문·결재" sheetId="6" state="visible" r:id="rId6"/>
    <sheet xmlns:r="http://schemas.openxmlformats.org/officeDocument/2006/relationships" name="5 수시평가" sheetId="7" state="visible" r:id="rId7"/>
    <sheet xmlns:r="http://schemas.openxmlformats.org/officeDocument/2006/relationships" name="_정보" sheetId="8" state="hidden" r:id="rId8"/>
  </sheets>
  <definedNames>
    <definedName name="_xlnm._FilterDatabase" localSheetId="2" hidden="1">'1 정기평가 만들기'!$A$3:$I$12</definedName>
    <definedName name="_xlnm.Print_Titles" localSheetId="2">'1 정기평가 만들기'!$3:$3</definedName>
    <definedName name="_xlnm._FilterDatabase" localSheetId="3" hidden="1">'2 설문조사표·보고서'!$A$3:$I$13</definedName>
    <definedName name="_xlnm.Print_Titles" localSheetId="3">'2 설문조사표·보고서'!$3:$3</definedName>
    <definedName name="_xlnm._FilterDatabase" localSheetId="4" hidden="1">'3 전달·조치·확인'!$A$3:$I$19</definedName>
    <definedName name="_xlnm.Print_Titles" localSheetId="4">'3 전달·조치·확인'!$3:$3</definedName>
    <definedName name="_xlnm._FilterDatabase" localSheetId="5" hidden="1">'4 공문·결재'!$A$3:$I$9</definedName>
    <definedName name="_xlnm.Print_Titles" localSheetId="5">'4 공문·결재'!$3:$3</definedName>
    <definedName name="_xlnm._FilterDatabase" localSheetId="6" hidden="1">'5 수시평가'!$A$3:$I$15</definedName>
    <definedName name="_xlnm.Print_Titles" localSheetId="6">'5 수시평가'!$3:$3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i val="1"/>
      <color rgb="007F7F7F"/>
      <sz val="10.5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위험성평가 · 박진우</t>
        </is>
      </c>
    </row>
    <row r="3" ht="22" customHeight="1">
      <c r="A3" s="2" t="inlineStr">
        <is>
          <t>메뉴</t>
        </is>
      </c>
      <c r="B3" s="3" t="inlineStr">
        <is>
          <t>위험성평가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박진우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이 파일</t>
        </is>
      </c>
      <c r="B5" s="3" t="inlineStr">
        <is>
          <t>정기 위험성평가를 만들고 → 부서가 조치하고 → 재난안전과가 확인하고 → 공문까지 올리는 흐름, 그리고 수시 위험성평가를 봅니다.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줄 수</t>
        </is>
      </c>
      <c r="B6" s="3" t="inlineStr">
        <is>
          <t>53줄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시트</t>
        </is>
      </c>
      <c r="B7" s="3" t="inlineStr">
        <is>
          <t>1 정기평가 만들기 → 2 설문조사표·보고서 → 3 전달·조치·확인 → 4 공문·결재 → 5 수시평가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테스트 주소</t>
        </is>
      </c>
      <c r="B8" s="6" t="inlineStr">
        <is>
          <t>(배포 주소를 받으면 채웁니다)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브라우저</t>
        </is>
      </c>
      <c r="B9" s="7" t="n"/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기기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시작한 날</t>
        </is>
      </c>
      <c r="B11" s="8" t="n"/>
      <c r="C11" s="4" t="n"/>
      <c r="D11" s="4" t="n"/>
      <c r="E11" s="4" t="n"/>
      <c r="F11" s="4" t="n"/>
      <c r="G11" s="4" t="n"/>
      <c r="H11" s="5" t="n"/>
    </row>
    <row r="13" ht="24" customHeight="1">
      <c r="A13" s="9" t="inlineStr">
        <is>
          <t>이렇게 하면 됩니다</t>
        </is>
      </c>
    </row>
    <row r="14" ht="21" customHeight="1">
      <c r="A14" s="10" t="inlineStr">
        <is>
          <t>① 브라우저로 위 «테스트 주소»를 엽니다. 시트마다 맨 위에 «새 탭에서 시작» 또는 «같은 탭에서 이어서»가 적혀 있습니다.</t>
        </is>
      </c>
    </row>
    <row r="15" ht="21" customHeight="1">
      <c r="A15" s="10" t="inlineStr">
        <is>
          <t>② 화면 오른쪽 위 이름을 눌러 «누구로» 칸의 사람으로 바꿉니다.</t>
        </is>
      </c>
    </row>
    <row r="16" ht="21" customHeight="1">
      <c r="A16" s="10" t="inlineStr">
        <is>
          <t>③ «어디서» 메뉴로 가서 «해 볼 것»대로 눌러 봅니다.</t>
        </is>
      </c>
    </row>
    <row r="17" ht="21" customHeight="1">
      <c r="A17" s="10" t="inlineStr">
        <is>
          <t>④ «이러면 성공»과 같으면 «결과» 칸에서 성공을, 다르면 실패·오류 등을 고릅니다.</t>
        </is>
      </c>
    </row>
    <row r="18" ht="21" customHeight="1">
      <c r="A18" s="10" t="inlineStr">
        <is>
          <t>⑤ 실패·오류·문의면 «메모»에 한 줄 적고, 필요하면 «사진» 칸에 화면 캡처를 붙여넣습니다.</t>
        </is>
      </c>
    </row>
    <row r="20" ht="24" customHeight="1">
      <c r="A20" s="9" t="inlineStr">
        <is>
          <t>결과 고르는 법</t>
        </is>
      </c>
    </row>
    <row r="21" ht="22" customHeight="1">
      <c r="A21" s="2" t="inlineStr">
        <is>
          <t>결과</t>
        </is>
      </c>
      <c r="B21" s="2" t="inlineStr">
        <is>
          <t>이럴 때 고르세요</t>
        </is>
      </c>
      <c r="C21" s="4" t="n"/>
      <c r="D21" s="4" t="n"/>
      <c r="E21" s="4" t="n"/>
      <c r="F21" s="4" t="n"/>
      <c r="G21" s="4" t="n"/>
      <c r="H21" s="5" t="n"/>
    </row>
    <row r="22" ht="22" customHeight="1">
      <c r="A22" s="11" t="inlineStr">
        <is>
          <t>성공</t>
        </is>
      </c>
      <c r="B22" s="3" t="inlineStr">
        <is>
          <t>«이러면 성공»대로 된다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2" t="inlineStr">
        <is>
          <t>실패</t>
        </is>
      </c>
      <c r="B23" s="3" t="inlineStr">
        <is>
          <t>되긴 하는데 설명과 다르다 — 막혀야 하는데 저장된다, 문구·숫자가 틀리다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3" t="inlineStr">
        <is>
          <t>오류</t>
        </is>
      </c>
      <c r="B24" s="3" t="inlineStr">
        <is>
          <t>화면이 멈추거나 깨진다, 눌러도 아무 일이 없다, 오류 창이 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4" t="inlineStr">
        <is>
          <t>보류</t>
        </is>
      </c>
      <c r="B25" s="3" t="inlineStr">
        <is>
          <t>앞 단계가 안 돼서 지금은 못 한다 — 메모에 이유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5" t="inlineStr">
        <is>
          <t>확인 불가</t>
        </is>
      </c>
      <c r="B26" s="3" t="inlineStr">
        <is>
          <t>이 환경에서는 볼 수 없다 — 예: 확인할 데이터가 없다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6" t="inlineStr">
        <is>
          <t>문의</t>
        </is>
      </c>
      <c r="B27" s="3" t="inlineStr">
        <is>
          <t>맞는지 헷갈린다 — 메모에 궁금한 점</t>
        </is>
      </c>
      <c r="C27" s="4" t="n"/>
      <c r="D27" s="4" t="n"/>
      <c r="E27" s="4" t="n"/>
      <c r="F27" s="4" t="n"/>
      <c r="G27" s="4" t="n"/>
      <c r="H27" s="5" t="n"/>
    </row>
    <row r="29" ht="24" customHeight="1">
      <c r="A29" s="9" t="inlineStr">
        <is>
          <t>사진 붙이는 법</t>
        </is>
      </c>
    </row>
    <row r="30" ht="21" customHeight="1">
      <c r="A30" s="10" t="inlineStr">
        <is>
          <t>• 윈도우: Win + Shift + S → 영역 선택 → 엑셀에서 그 줄의 «사진» 칸을 누르고 Ctrl + V</t>
        </is>
      </c>
    </row>
    <row r="31" ht="21" customHeight="1">
      <c r="A31" s="10" t="inlineStr">
        <is>
          <t>• 맥: Cmd + Ctrl + Shift + 4 → 영역 선택 → 엑셀에서 그 줄의 «사진» 칸을 누르고 Cmd + V</t>
        </is>
      </c>
    </row>
    <row r="32" ht="21" customHeight="1">
      <c r="A32" s="10" t="inlineStr">
        <is>
          <t>• 사진이 크면 모서리를 끌어 줄이세요. 사진은 그 줄 «사진» 칸 위에 두면 됩니다 — 취합할 때 줄 번호로 찾습니다.</t>
        </is>
      </c>
    </row>
    <row r="33" ht="21" customHeight="1">
      <c r="A33" s="10" t="inlineStr">
        <is>
          <t>• 사진은 떠 있는 그대로 두세요(«셀에 배치»로 넣으면 취합할 때 꺼내지 못합니다).</t>
        </is>
      </c>
    </row>
    <row r="35" ht="24" customHeight="1">
      <c r="A35" s="9" t="inlineStr">
        <is>
          <t>누구로 — 계정 바꾸는 법</t>
        </is>
      </c>
    </row>
    <row r="36" ht="21" customHeight="1">
      <c r="A36" s="10" t="inlineStr">
        <is>
          <t>• 화면 오른쪽 위 이름을 누르면 사람 목록이 나옵니다. «누구로» 칸의 이름을 누르면 바뀝니다.</t>
        </is>
      </c>
    </row>
    <row r="37" ht="22" customHeight="1">
      <c r="A37" s="2" t="inlineStr">
        <is>
          <t>이름</t>
        </is>
      </c>
      <c r="B37" s="2" t="inlineStr">
        <is>
          <t>누구</t>
        </is>
      </c>
      <c r="C37" s="4" t="n"/>
      <c r="D37" s="5" t="n"/>
      <c r="E37" s="2" t="inlineStr">
        <is>
          <t>주로 하는 것</t>
        </is>
      </c>
      <c r="F37" s="4" t="n"/>
      <c r="G37" s="4" t="n"/>
      <c r="H37" s="5" t="n"/>
    </row>
    <row r="38" ht="22" customHeight="1">
      <c r="A38" s="17" t="inlineStr">
        <is>
          <t>박안전</t>
        </is>
      </c>
      <c r="B38" s="3" t="inlineStr">
        <is>
          <t>재난안전과 담당자</t>
        </is>
      </c>
      <c r="C38" s="4" t="n"/>
      <c r="D38" s="5" t="n"/>
      <c r="E38" s="3" t="inlineStr">
        <is>
          <t>대부분 이 계정 — 등록·확인·공문</t>
        </is>
      </c>
      <c r="F38" s="4" t="n"/>
      <c r="G38" s="4" t="n"/>
      <c r="H38" s="5" t="n"/>
    </row>
    <row r="39" ht="22" customHeight="1">
      <c r="A39" s="17" t="inlineStr">
        <is>
          <t>하정수</t>
        </is>
      </c>
      <c r="B39" s="3" t="inlineStr">
        <is>
          <t>물순환사업소 담당자</t>
        </is>
      </c>
      <c r="C39" s="4" t="n"/>
      <c r="D39" s="5" t="n"/>
      <c r="E39" s="3" t="inlineStr">
        <is>
          <t>자기 부서 일만 한다</t>
        </is>
      </c>
      <c r="F39" s="4" t="n"/>
      <c r="G39" s="4" t="n"/>
      <c r="H39" s="5" t="n"/>
    </row>
    <row r="40" ht="22" customHeight="1">
      <c r="A40" s="17" t="inlineStr">
        <is>
          <t>정환경</t>
        </is>
      </c>
      <c r="B40" s="3" t="inlineStr">
        <is>
          <t>환경과 담당자</t>
        </is>
      </c>
      <c r="C40" s="4" t="n"/>
      <c r="D40" s="5" t="n"/>
      <c r="E40" s="3" t="inlineStr">
        <is>
          <t>남의 부서 것을 못 건드리는지 볼 때</t>
        </is>
      </c>
      <c r="F40" s="4" t="n"/>
      <c r="G40" s="4" t="n"/>
      <c r="H40" s="5" t="n"/>
    </row>
    <row r="41" ht="22" customHeight="1">
      <c r="A41" s="17" t="inlineStr">
        <is>
          <t>오순환</t>
        </is>
      </c>
      <c r="B41" s="3" t="inlineStr">
        <is>
          <t>물순환사업소장</t>
        </is>
      </c>
      <c r="C41" s="4" t="n"/>
      <c r="D41" s="5" t="n"/>
      <c r="E41" s="3" t="inlineStr">
        <is>
          <t>자기 부서를 보고 재촉한다</t>
        </is>
      </c>
      <c r="F41" s="4" t="n"/>
      <c r="G41" s="4" t="n"/>
      <c r="H41" s="5" t="n"/>
    </row>
    <row r="42" ht="22" customHeight="1">
      <c r="A42" s="17" t="inlineStr">
        <is>
          <t>김중대</t>
        </is>
      </c>
      <c r="B42" s="3" t="inlineStr">
        <is>
          <t>중대재해팀장</t>
        </is>
      </c>
      <c r="C42" s="4" t="n"/>
      <c r="D42" s="5" t="n"/>
      <c r="E42" s="3" t="inlineStr">
        <is>
          <t>공문 결재선(검토)을 볼 때</t>
        </is>
      </c>
      <c r="F42" s="4" t="n"/>
      <c r="G42" s="4" t="n"/>
      <c r="H42" s="5" t="n"/>
    </row>
    <row r="43" ht="22" customHeight="1">
      <c r="A43" s="17" t="inlineStr">
        <is>
          <t>홍길동</t>
        </is>
      </c>
      <c r="B43" s="3" t="inlineStr">
        <is>
          <t>재난안전과장</t>
        </is>
      </c>
      <c r="C43" s="4" t="n"/>
      <c r="D43" s="5" t="n"/>
      <c r="E43" s="3" t="inlineStr">
        <is>
          <t>보기만 한다 — 등록 버튼이 없는 게 정상</t>
        </is>
      </c>
      <c r="F43" s="4" t="n"/>
      <c r="G43" s="4" t="n"/>
      <c r="H43" s="5" t="n"/>
    </row>
    <row r="44" ht="22" customHeight="1">
      <c r="A44" s="17" t="inlineStr">
        <is>
          <t>김담양</t>
        </is>
      </c>
      <c r="B44" s="3" t="inlineStr">
        <is>
          <t>군수</t>
        </is>
      </c>
      <c r="C44" s="4" t="n"/>
      <c r="D44" s="5" t="n"/>
      <c r="E44" s="3" t="inlineStr">
        <is>
          <t>보기만 한다</t>
        </is>
      </c>
      <c r="F44" s="4" t="n"/>
      <c r="G44" s="4" t="n"/>
      <c r="H44" s="5" t="n"/>
    </row>
    <row r="46" ht="24" customHeight="1">
      <c r="A46" s="9" t="inlineStr">
        <is>
          <t>알아 두면 좋은 것 (결함이 아닙니다)</t>
        </is>
      </c>
    </row>
    <row r="47" ht="21" customHeight="1">
      <c r="A47" s="10" t="inlineStr">
        <is>
          <t>• 오늘 날짜가 2026-07-16 으로 고정돼 있습니다. 기한·D-day는 이 날 기준입니다.</t>
        </is>
      </c>
    </row>
    <row r="48" ht="21" customHeight="1">
      <c r="A48" s="10" t="inlineStr">
        <is>
          <t>• 입력한 데이터는 그 브라우저 탭에만 남습니다. 새 탭을 열면 처음 상태로 돌아갑니다(새로고침은 괜찮습니다).</t>
        </is>
      </c>
    </row>
    <row r="49" ht="21" customHeight="1">
      <c r="A49" s="10" t="inlineStr">
        <is>
          <t>• 파일 첨부는 파일 이름만 남습니다. 실제 파일을 열거나 받을 수는 없습니다.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과장·군수에게 등록·수정 버튼이 없는 것, 결재 승인·반려 버튼이 없는 것(결재는 온나라에서 합니다)은 정상입니다.</t>
        </is>
      </c>
    </row>
    <row r="52" ht="21" customHeight="1">
      <c r="A52" s="10" t="inlineStr">
        <is>
          <t>• 2025년 자료는 실제 문서이고, 2026년 자료는 «예시 자료»입니다.</t>
        </is>
      </c>
    </row>
    <row r="53" ht="21" customHeight="1">
      <c r="A53" s="10" t="inlineStr">
        <is>
          <t>• ---</t>
        </is>
      </c>
    </row>
  </sheetData>
  <mergeCells count="50">
    <mergeCell ref="B42:D42"/>
    <mergeCell ref="A48:H48"/>
    <mergeCell ref="A30:H30"/>
    <mergeCell ref="B9:H9"/>
    <mergeCell ref="A15:H15"/>
    <mergeCell ref="A51:H51"/>
    <mergeCell ref="B6:H6"/>
    <mergeCell ref="B24:H24"/>
    <mergeCell ref="A36:H36"/>
    <mergeCell ref="A49:H49"/>
    <mergeCell ref="B44:D44"/>
    <mergeCell ref="A1:H1"/>
    <mergeCell ref="E41:H41"/>
    <mergeCell ref="B5:H5"/>
    <mergeCell ref="B38:D38"/>
    <mergeCell ref="E37:H37"/>
    <mergeCell ref="B37:D37"/>
    <mergeCell ref="B26:H26"/>
    <mergeCell ref="B4:H4"/>
    <mergeCell ref="A16:H16"/>
    <mergeCell ref="E43:H43"/>
    <mergeCell ref="B40:D40"/>
    <mergeCell ref="B7:H7"/>
    <mergeCell ref="B25:H25"/>
    <mergeCell ref="B3:H3"/>
    <mergeCell ref="E42:H42"/>
    <mergeCell ref="A18:H18"/>
    <mergeCell ref="B22:H22"/>
    <mergeCell ref="A50:H50"/>
    <mergeCell ref="E39:H39"/>
    <mergeCell ref="B27:H27"/>
    <mergeCell ref="B41:D41"/>
    <mergeCell ref="B21:H21"/>
    <mergeCell ref="E38:H38"/>
    <mergeCell ref="E44:H44"/>
    <mergeCell ref="A33:H33"/>
    <mergeCell ref="A14:H14"/>
    <mergeCell ref="A47:H47"/>
    <mergeCell ref="B11:H11"/>
    <mergeCell ref="A32:H32"/>
    <mergeCell ref="B23:H23"/>
    <mergeCell ref="A17:H17"/>
    <mergeCell ref="B8:H8"/>
    <mergeCell ref="E40:H40"/>
    <mergeCell ref="A53:H53"/>
    <mergeCell ref="A52:H52"/>
    <mergeCell ref="B10:H10"/>
    <mergeCell ref="B43:D43"/>
    <mergeCell ref="B39:D39"/>
    <mergeCell ref="A31:H31"/>
  </mergeCells>
  <dataValidations count="2">
    <dataValidation sqref="B9" showDropDown="0" showInputMessage="0" showErrorMessage="0" allowBlank="1" type="list">
      <formula1>"크롬,엣지,웨일,사파리,파이어폭스,기타"</formula1>
    </dataValidation>
    <dataValidation sqref="B10" showDropDown="0" showInputMessage="0" showErrorMessage="0" allowBlank="1" type="list">
      <formula1>"윈도우 PC,맥,태블릿,휴대폰"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위험성평가 · 박진우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정기평가 만들기</t>
        </is>
      </c>
      <c r="B5" s="21">
        <f>COUNTA('1 정기평가 만들기'!$A$4:$A$12)</f>
        <v>9</v>
      </c>
      <c r="C5" s="21">
        <f>COUNTIF('1 정기평가 만들기'!$G$4:$G$12,"성공")</f>
        <v>0</v>
      </c>
      <c r="D5" s="21">
        <f>COUNTIF('1 정기평가 만들기'!$G$4:$G$12,"실패")</f>
        <v>0</v>
      </c>
      <c r="E5" s="21">
        <f>COUNTIF('1 정기평가 만들기'!$G$4:$G$12,"오류")</f>
        <v>0</v>
      </c>
      <c r="F5" s="21">
        <f>COUNTIF('1 정기평가 만들기'!$G$4:$G$12,"보류")</f>
        <v>0</v>
      </c>
      <c r="G5" s="21">
        <f>COUNTIF('1 정기평가 만들기'!$G$4:$G$12,"확인 불가")</f>
        <v>0</v>
      </c>
      <c r="H5" s="21">
        <f>COUNTIF('1 정기평가 만들기'!$G$4:$G$12,"문의")</f>
        <v>0</v>
      </c>
      <c r="I5" s="21">
        <f>COUNTBLANK('1 정기평가 만들기'!$G$4:$G$12)</f>
        <v>9</v>
      </c>
      <c r="J5" s="22">
        <f>IF(B5=0,0,(B5-I5)/B5)</f>
        <v>0</v>
      </c>
    </row>
    <row r="6" ht="22" customHeight="1">
      <c r="A6" s="20" t="inlineStr">
        <is>
          <t>2 설문조사표·보고서</t>
        </is>
      </c>
      <c r="B6" s="21">
        <f>COUNTA('2 설문조사표·보고서'!$A$4:$A$13)</f>
        <v>10</v>
      </c>
      <c r="C6" s="21">
        <f>COUNTIF('2 설문조사표·보고서'!$G$4:$G$13,"성공")</f>
        <v>0</v>
      </c>
      <c r="D6" s="21">
        <f>COUNTIF('2 설문조사표·보고서'!$G$4:$G$13,"실패")</f>
        <v>0</v>
      </c>
      <c r="E6" s="21">
        <f>COUNTIF('2 설문조사표·보고서'!$G$4:$G$13,"오류")</f>
        <v>0</v>
      </c>
      <c r="F6" s="21">
        <f>COUNTIF('2 설문조사표·보고서'!$G$4:$G$13,"보류")</f>
        <v>0</v>
      </c>
      <c r="G6" s="21">
        <f>COUNTIF('2 설문조사표·보고서'!$G$4:$G$13,"확인 불가")</f>
        <v>0</v>
      </c>
      <c r="H6" s="21">
        <f>COUNTIF('2 설문조사표·보고서'!$G$4:$G$13,"문의")</f>
        <v>0</v>
      </c>
      <c r="I6" s="21">
        <f>COUNTBLANK('2 설문조사표·보고서'!$G$4:$G$13)</f>
        <v>10</v>
      </c>
      <c r="J6" s="22">
        <f>IF(B6=0,0,(B6-I6)/B6)</f>
        <v>0</v>
      </c>
    </row>
    <row r="7" ht="22" customHeight="1">
      <c r="A7" s="20" t="inlineStr">
        <is>
          <t>3 전달·조치·확인</t>
        </is>
      </c>
      <c r="B7" s="21">
        <f>COUNTA('3 전달·조치·확인'!$A$4:$A$19)</f>
        <v>16</v>
      </c>
      <c r="C7" s="21">
        <f>COUNTIF('3 전달·조치·확인'!$G$4:$G$19,"성공")</f>
        <v>0</v>
      </c>
      <c r="D7" s="21">
        <f>COUNTIF('3 전달·조치·확인'!$G$4:$G$19,"실패")</f>
        <v>0</v>
      </c>
      <c r="E7" s="21">
        <f>COUNTIF('3 전달·조치·확인'!$G$4:$G$19,"오류")</f>
        <v>0</v>
      </c>
      <c r="F7" s="21">
        <f>COUNTIF('3 전달·조치·확인'!$G$4:$G$19,"보류")</f>
        <v>0</v>
      </c>
      <c r="G7" s="21">
        <f>COUNTIF('3 전달·조치·확인'!$G$4:$G$19,"확인 불가")</f>
        <v>0</v>
      </c>
      <c r="H7" s="21">
        <f>COUNTIF('3 전달·조치·확인'!$G$4:$G$19,"문의")</f>
        <v>0</v>
      </c>
      <c r="I7" s="21">
        <f>COUNTBLANK('3 전달·조치·확인'!$G$4:$G$19)</f>
        <v>16</v>
      </c>
      <c r="J7" s="22">
        <f>IF(B7=0,0,(B7-I7)/B7)</f>
        <v>0</v>
      </c>
    </row>
    <row r="8" ht="22" customHeight="1">
      <c r="A8" s="20" t="inlineStr">
        <is>
          <t>4 공문·결재</t>
        </is>
      </c>
      <c r="B8" s="21">
        <f>COUNTA('4 공문·결재'!$A$4:$A$9)</f>
        <v>6</v>
      </c>
      <c r="C8" s="21">
        <f>COUNTIF('4 공문·결재'!$G$4:$G$9,"성공")</f>
        <v>0</v>
      </c>
      <c r="D8" s="21">
        <f>COUNTIF('4 공문·결재'!$G$4:$G$9,"실패")</f>
        <v>0</v>
      </c>
      <c r="E8" s="21">
        <f>COUNTIF('4 공문·결재'!$G$4:$G$9,"오류")</f>
        <v>0</v>
      </c>
      <c r="F8" s="21">
        <f>COUNTIF('4 공문·결재'!$G$4:$G$9,"보류")</f>
        <v>0</v>
      </c>
      <c r="G8" s="21">
        <f>COUNTIF('4 공문·결재'!$G$4:$G$9,"확인 불가")</f>
        <v>0</v>
      </c>
      <c r="H8" s="21">
        <f>COUNTIF('4 공문·결재'!$G$4:$G$9,"문의")</f>
        <v>0</v>
      </c>
      <c r="I8" s="21">
        <f>COUNTBLANK('4 공문·결재'!$G$4:$G$9)</f>
        <v>6</v>
      </c>
      <c r="J8" s="22">
        <f>IF(B8=0,0,(B8-I8)/B8)</f>
        <v>0</v>
      </c>
    </row>
    <row r="9" ht="22" customHeight="1">
      <c r="A9" s="20" t="inlineStr">
        <is>
          <t>5 수시평가</t>
        </is>
      </c>
      <c r="B9" s="21">
        <f>COUNTA('5 수시평가'!$A$4:$A$15)</f>
        <v>12</v>
      </c>
      <c r="C9" s="21">
        <f>COUNTIF('5 수시평가'!$G$4:$G$15,"성공")</f>
        <v>0</v>
      </c>
      <c r="D9" s="21">
        <f>COUNTIF('5 수시평가'!$G$4:$G$15,"실패")</f>
        <v>0</v>
      </c>
      <c r="E9" s="21">
        <f>COUNTIF('5 수시평가'!$G$4:$G$15,"오류")</f>
        <v>0</v>
      </c>
      <c r="F9" s="21">
        <f>COUNTIF('5 수시평가'!$G$4:$G$15,"보류")</f>
        <v>0</v>
      </c>
      <c r="G9" s="21">
        <f>COUNTIF('5 수시평가'!$G$4:$G$15,"확인 불가")</f>
        <v>0</v>
      </c>
      <c r="H9" s="21">
        <f>COUNTIF('5 수시평가'!$G$4:$G$15,"문의")</f>
        <v>0</v>
      </c>
      <c r="I9" s="21">
        <f>COUNTBLANK('5 수시평가'!$G$4:$G$15)</f>
        <v>12</v>
      </c>
      <c r="J9" s="22">
        <f>IF(B9=0,0,(B9-I9)/B9)</f>
        <v>0</v>
      </c>
    </row>
    <row r="10" ht="24" customHeight="1">
      <c r="A10" s="23" t="inlineStr">
        <is>
          <t>합계</t>
        </is>
      </c>
      <c r="B10" s="24">
        <f>SUM(B5:B9)</f>
        <v>53</v>
      </c>
      <c r="C10" s="24">
        <f>SUM(C5:C9)</f>
        <v>0</v>
      </c>
      <c r="D10" s="24">
        <f>SUM(D5:D9)</f>
        <v>0</v>
      </c>
      <c r="E10" s="24">
        <f>SUM(E5:E9)</f>
        <v>0</v>
      </c>
      <c r="F10" s="24">
        <f>SUM(F5:F9)</f>
        <v>0</v>
      </c>
      <c r="G10" s="24">
        <f>SUM(G5:G9)</f>
        <v>0</v>
      </c>
      <c r="H10" s="24">
        <f>SUM(H5:H9)</f>
        <v>0</v>
      </c>
      <c r="I10" s="24">
        <f>SUM(I5:I9)</f>
        <v>53</v>
      </c>
      <c r="J10" s="25">
        <f>IF(B10=0,0,(B10-I10)/B10)</f>
        <v>0</v>
      </c>
    </row>
  </sheetData>
  <mergeCells count="2">
    <mergeCell ref="A1:J1"/>
    <mergeCell ref="A2:J2"/>
  </mergeCells>
  <conditionalFormatting sqref="J5:J10">
    <cfRule type="dataBar" priority="1">
      <dataBar showValue="1">
        <cfvo type="num" val="0"/>
        <cfvo type="num" val="1"/>
        <color rgb="0063BE7B"/>
      </dataBar>
    </cfRule>
  </conditionalFormatting>
  <conditionalFormatting sqref="D5:D10">
    <cfRule type="cellIs" priority="2" operator="greaterThan" dxfId="0">
      <formula>0</formula>
    </cfRule>
  </conditionalFormatting>
  <conditionalFormatting sqref="E5:E10">
    <cfRule type="cellIs" priority="3" operator="greaterThan" dxfId="0">
      <formula>0</formula>
    </cfRule>
  </conditionalFormatting>
  <conditionalFormatting sqref="H5:H10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2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1 정기평가 만들기</t>
        </is>
      </c>
    </row>
    <row r="2" ht="24" customHeight="1">
      <c r="A2" s="26" t="inlineStr">
        <is>
          <t>🗂 새 탭에서 시작하세요. 1~4번 시트는 이 탭 하나에서 이어서 합니다(탭을 닫거나 새 탭을 열면 처음 상태로 돌아갑니다).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박안전</t>
        </is>
      </c>
      <c r="C4" s="3" t="inlineStr">
        <is>
          <t>위험성평가 &gt; 정기 위험성평가</t>
        </is>
      </c>
      <c r="D4" s="17" t="inlineStr">
        <is>
          <t>올해 평가가 없을 때 첫 화면</t>
        </is>
      </c>
      <c r="E4" s="3" t="inlineStr">
        <is>
          <t>① 메뉴로 들어간다
② 연도가 2026인지 본다</t>
        </is>
      </c>
      <c r="F4" s="3" t="inlineStr">
        <is>
          <t>«2026년 정기 위험성평가가 등록되지 않았습니다»와 [＋ 정기평가 생성] 버튼이 보인다</t>
        </is>
      </c>
      <c r="G4" s="29" t="n"/>
      <c r="H4" s="7" t="n"/>
      <c r="I4" s="7" t="n"/>
    </row>
    <row r="5" ht="51" customHeight="1">
      <c r="A5" s="28" t="n">
        <v>2</v>
      </c>
      <c r="B5" s="30" t="inlineStr">
        <is>
          <t>박안전</t>
        </is>
      </c>
      <c r="C5" s="30" t="inlineStr">
        <is>
          <t>위험성평가 &gt; 정기 위험성평가</t>
        </is>
      </c>
      <c r="D5" s="17" t="inlineStr">
        <is>
          <t>지난해 평가 보기</t>
        </is>
      </c>
      <c r="E5" s="3" t="inlineStr">
        <is>
          <t>① 연도를 2025로 바꾼다
② 위 요약 숫자와 아래 표를 비교한다
③ 다시 2026으로 바꾼다</t>
        </is>
      </c>
      <c r="F5" s="3" t="inlineStr">
        <is>
          <t>2025년 평가가 보이고 요약 숫자가 표 내용과 맞다</t>
        </is>
      </c>
      <c r="G5" s="29" t="n"/>
      <c r="H5" s="7" t="n"/>
      <c r="I5" s="7" t="n"/>
    </row>
    <row r="6" ht="51" customHeight="1">
      <c r="A6" s="28" t="n">
        <v>3</v>
      </c>
      <c r="B6" s="3" t="inlineStr">
        <is>
          <t>하정수 → 홍길동 → 김담양</t>
        </is>
      </c>
      <c r="C6" s="30" t="inlineStr">
        <is>
          <t>위험성평가 &gt; 정기 위험성평가</t>
        </is>
      </c>
      <c r="D6" s="17" t="inlineStr">
        <is>
          <t>담당자가 아니면 만들 수 없다</t>
        </is>
      </c>
      <c r="E6" s="3" t="inlineStr">
        <is>
          <t>계정을 차례로 바꿔 2026년 화면을 본다</t>
        </is>
      </c>
      <c r="F6" s="3" t="inlineStr">
        <is>
          <t>세 계정 모두 [＋ 정기평가 생성]이 없고 «조회 전용 — … 재난안전과 담당자가 생성합니다» 안내가 보인다</t>
        </is>
      </c>
      <c r="G6" s="29" t="n"/>
      <c r="H6" s="7" t="n"/>
      <c r="I6" s="7" t="n"/>
    </row>
    <row r="7" ht="51" customHeight="1">
      <c r="A7" s="28" t="n">
        <v>4</v>
      </c>
      <c r="B7" s="3" t="inlineStr">
        <is>
          <t>박안전</t>
        </is>
      </c>
      <c r="C7" s="30" t="inlineStr">
        <is>
          <t>위험성평가 &gt; 정기 위험성평가</t>
        </is>
      </c>
      <c r="D7" s="17" t="inlineStr">
        <is>
          <t>만들기 1단계 — 대상 부서 고르기</t>
        </is>
      </c>
      <c r="E7" s="3" t="inlineStr">
        <is>
          <t>① [＋ 정기평가 생성]
② 부서 몇 개를 체크 해제했다가 다시 체크
③ 검색창에 부서 이름 일부를 친다</t>
        </is>
      </c>
      <c r="F7" s="3" t="inlineStr">
        <is>
          <t>처음엔 모두 체크돼 있고 고른 개수가 바로 바뀐다. 검색해도 체크가 그대로다</t>
        </is>
      </c>
      <c r="G7" s="29" t="n"/>
      <c r="H7" s="7" t="n"/>
      <c r="I7" s="7" t="n"/>
    </row>
    <row r="8" ht="36" customHeight="1">
      <c r="A8" s="28" t="n">
        <v>5</v>
      </c>
      <c r="B8" s="30" t="inlineStr">
        <is>
          <t>박안전</t>
        </is>
      </c>
      <c r="C8" s="30" t="inlineStr">
        <is>
          <t>위험성평가 &gt; 정기 위험성평가</t>
        </is>
      </c>
      <c r="D8" s="17" t="inlineStr">
        <is>
          <t>부서를 하나도 안 고르면 막힌다</t>
        </is>
      </c>
      <c r="E8" s="3" t="inlineStr">
        <is>
          <t>① 전체 선택을 해제한다
② [다음]</t>
        </is>
      </c>
      <c r="F8" s="3" t="inlineStr">
        <is>
          <t>«1개 이상 부서를 선택하세요.»가 뜨고 넘어가지 않는다</t>
        </is>
      </c>
      <c r="G8" s="29" t="n"/>
      <c r="H8" s="7" t="n"/>
      <c r="I8" s="7" t="n"/>
    </row>
    <row r="9" ht="51" customHeight="1">
      <c r="A9" s="28" t="n">
        <v>6</v>
      </c>
      <c r="B9" s="30" t="inlineStr">
        <is>
          <t>박안전</t>
        </is>
      </c>
      <c r="C9" s="30" t="inlineStr">
        <is>
          <t>위험성평가 &gt; 정기 위험성평가</t>
        </is>
      </c>
      <c r="D9" s="17" t="inlineStr">
        <is>
          <t>점검일자가 없으면 막힌다</t>
        </is>
      </c>
      <c r="E9" s="3" t="inlineStr">
        <is>
          <t>① 물순환사업소를 포함해 부서를 고르고 [다음]
② 점검일자를 비운 채 [생성]</t>
        </is>
      </c>
      <c r="F9" s="3" t="inlineStr">
        <is>
          <t>«점검일자가 비어있는 부서가 있습니다 (N개)»가 뜨고 만들어지지 않는다</t>
        </is>
      </c>
      <c r="G9" s="29" t="n"/>
      <c r="H9" s="7" t="n"/>
      <c r="I9" s="7" t="n"/>
    </row>
    <row r="10" ht="51" customHeight="1">
      <c r="A10" s="28" t="n">
        <v>7</v>
      </c>
      <c r="B10" s="30" t="inlineStr">
        <is>
          <t>박안전</t>
        </is>
      </c>
      <c r="C10" s="30" t="inlineStr">
        <is>
          <t>위험성평가 &gt; 정기 위험성평가</t>
        </is>
      </c>
      <c r="D10" s="17" t="inlineStr">
        <is>
          <t>점검일자를 넣고 만들기</t>
        </is>
      </c>
      <c r="E10" s="3" t="inlineStr">
        <is>
          <t>① 일괄 점검일자를 넣고 적용
② 한 부서만 다른 날짜로 바꾼다
③ [생성]</t>
        </is>
      </c>
      <c r="F10" s="3" t="inlineStr">
        <is>
          <t>평가가 만들어지고 고른 부서가 모두 표에 있다. 바꾼 부서는 그 날짜로 들어가 있다</t>
        </is>
      </c>
      <c r="G10" s="29" t="n"/>
      <c r="H10" s="7" t="n"/>
      <c r="I10" s="7" t="n"/>
    </row>
    <row r="11" ht="51" customHeight="1">
      <c r="A11" s="28" t="n">
        <v>8</v>
      </c>
      <c r="B11" s="30" t="inlineStr">
        <is>
          <t>박안전</t>
        </is>
      </c>
      <c r="C11" s="30" t="inlineStr">
        <is>
          <t>위험성평가 &gt; 정기 위험성평가</t>
        </is>
      </c>
      <c r="D11" s="17" t="inlineStr">
        <is>
          <t>새로고침해도 그대로</t>
        </is>
      </c>
      <c r="E11" s="3" t="inlineStr">
        <is>
          <t>브라우저 새로고침(F5)</t>
        </is>
      </c>
      <c r="F11" s="3" t="inlineStr">
        <is>
          <t>제목 «2026년 정기 위험성평가»와 부서·점검일이 그대로다. 오른쪽 위에는 «정기평가는 연 1회 등록 원칙»이 보인다</t>
        </is>
      </c>
      <c r="G11" s="29" t="n"/>
      <c r="H11" s="7" t="n"/>
      <c r="I11" s="7" t="n"/>
    </row>
    <row r="12" ht="36" customHeight="1">
      <c r="A12" s="28" t="n">
        <v>9</v>
      </c>
      <c r="B12" s="30" t="inlineStr">
        <is>
          <t>박안전</t>
        </is>
      </c>
      <c r="C12" s="30" t="inlineStr">
        <is>
          <t>위험성평가 &gt; 정기 위험성평가</t>
        </is>
      </c>
      <c r="D12" s="17" t="inlineStr">
        <is>
          <t>단계별 안내 켜 보기</t>
        </is>
      </c>
      <c r="E12" s="3" t="inlineStr">
        <is>
          <t>① 화면 위 «단계별 안내 시작»
② 안내를 읽고 [안내 닫기]</t>
        </is>
      </c>
      <c r="F12" s="3" t="inlineStr">
        <is>
          <t>지금 할 단계와 눌러야 할 버튼을 짚어 주고, 닫으면 사라진다</t>
        </is>
      </c>
      <c r="G12" s="29" t="n"/>
      <c r="H12" s="7" t="n"/>
      <c r="I12" s="7" t="n"/>
    </row>
  </sheetData>
  <autoFilter ref="A3:I12"/>
  <mergeCells count="2">
    <mergeCell ref="A1:I1"/>
    <mergeCell ref="A2:I2"/>
  </mergeCells>
  <conditionalFormatting sqref="G4:G12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2">
    <cfRule type="expression" priority="7" dxfId="7">
      <formula>AND(OR($G4="실패",$G4="오류",$G4="문의"),$H4="")</formula>
    </cfRule>
  </conditionalFormatting>
  <dataValidations count="1">
    <dataValidation sqref="G4:G12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2 설문조사표·보고서</t>
        </is>
      </c>
    </row>
    <row r="2" ht="24" customHeight="1">
      <c r="A2" s="26" t="inlineStr">
        <is>
          <t>🗂 앞 시트와 같은 탭에서 이어서 하세요. 1번 시트에서 만든 2026년 평가를 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10</v>
      </c>
      <c r="B4" s="3" t="inlineStr">
        <is>
          <t>박안전</t>
        </is>
      </c>
      <c r="C4" s="3" t="inlineStr">
        <is>
          <t>위험성평가 &gt; 정기 위험성평가</t>
        </is>
      </c>
      <c r="D4" s="17" t="inlineStr">
        <is>
          <t>설문조사표 양식 올리기</t>
        </is>
      </c>
      <c r="E4" s="3" t="inlineStr">
        <is>
          <t>① 설문조사표 공통 양식을 첨부한다
② 한 부서에만 다른 양식을 첨부한다
③ 새로고침</t>
        </is>
      </c>
      <c r="F4" s="3" t="inlineStr">
        <is>
          <t>공통 양식이 전 부서에, 따로 올린 부서에는 그 양식이 붙는다. 새로고침해도 파일 이름이 남는다</t>
        </is>
      </c>
      <c r="G4" s="29" t="n"/>
      <c r="H4" s="7" t="n"/>
      <c r="I4" s="7" t="n"/>
    </row>
    <row r="5" ht="36" customHeight="1">
      <c r="A5" s="28" t="n">
        <v>11</v>
      </c>
      <c r="B5" s="3" t="inlineStr">
        <is>
          <t>하정수</t>
        </is>
      </c>
      <c r="C5" s="30" t="inlineStr">
        <is>
          <t>위험성평가 &gt; 정기 위험성평가</t>
        </is>
      </c>
      <c r="D5" s="17" t="inlineStr">
        <is>
          <t>부서가 작성본을 낸다</t>
        </is>
      </c>
      <c r="E5" s="3" t="inlineStr">
        <is>
          <t>내 부서 진행 카드에서 작성본을 제출한다</t>
        </is>
      </c>
      <c r="F5" s="3" t="inlineStr">
        <is>
          <t>제출자·제출일이 남고 표의 «제출본» 칸에 바로 보인다. 다른 부서 줄에는 제출 버튼이 없다</t>
        </is>
      </c>
      <c r="G5" s="29" t="n"/>
      <c r="H5" s="7" t="n"/>
      <c r="I5" s="7" t="n"/>
    </row>
    <row r="6" ht="36" customHeight="1">
      <c r="A6" s="28" t="n">
        <v>12</v>
      </c>
      <c r="B6" s="3" t="inlineStr">
        <is>
          <t>박안전</t>
        </is>
      </c>
      <c r="C6" s="30" t="inlineStr">
        <is>
          <t>위험성평가 &gt; 정기 위험성평가</t>
        </is>
      </c>
      <c r="D6" s="17" t="inlineStr">
        <is>
          <t>재난안전과가 대신 올린다</t>
        </is>
      </c>
      <c r="E6" s="3" t="inlineStr">
        <is>
          <t>아직 안 낸 부서의 제출본을 «대리 등록»한다</t>
        </is>
      </c>
      <c r="F6" s="3" t="inlineStr">
        <is>
          <t>제출자가 «… 대리 등록»으로 남아 부서가 직접 낸 것과 구분된다</t>
        </is>
      </c>
      <c r="G6" s="29" t="n"/>
      <c r="H6" s="7" t="n"/>
      <c r="I6" s="7" t="n"/>
    </row>
    <row r="7" ht="36" customHeight="1">
      <c r="A7" s="28" t="n">
        <v>13</v>
      </c>
      <c r="B7" s="30" t="inlineStr">
        <is>
          <t>박안전</t>
        </is>
      </c>
      <c r="C7" s="30" t="inlineStr">
        <is>
          <t>위험성평가 &gt; 정기 위험성평가</t>
        </is>
      </c>
      <c r="D7" s="17" t="inlineStr">
        <is>
          <t>용역 보고서 올리기</t>
        </is>
      </c>
      <c r="E7" s="3" t="inlineStr">
        <is>
          <t>① 통합 보고서를 첨부한다
② 새로고침</t>
        </is>
      </c>
      <c r="F7" s="3" t="inlineStr">
        <is>
          <t>요약에 보고서 파일 이름이 보이고 부서별 개선조치를 적는 단계가 열린다</t>
        </is>
      </c>
      <c r="G7" s="29" t="n"/>
      <c r="H7" s="7" t="n"/>
      <c r="I7" s="7" t="n"/>
    </row>
    <row r="8" ht="36" customHeight="1">
      <c r="A8" s="28" t="n">
        <v>14</v>
      </c>
      <c r="B8" s="3" t="inlineStr">
        <is>
          <t>하정수 → 박안전</t>
        </is>
      </c>
      <c r="C8" s="30" t="inlineStr">
        <is>
          <t>위험성평가 &gt; 정기 위험성평가</t>
        </is>
      </c>
      <c r="D8" s="17" t="inlineStr">
        <is>
          <t>보고서를 올린 뒤에는 설문조사표를 못 바꾼다</t>
        </is>
      </c>
      <c r="E8" s="3" t="inlineStr">
        <is>
          <t>① 하정수로 제출본 바꾸기를 시도한다
② 박안전으로 양식 바꾸기를 시도한다</t>
        </is>
      </c>
      <c r="F8" s="3" t="inlineStr">
        <is>
          <t>«보고서가 등록되어 … 더 이상 바꿀 수 없습니다»가 뜨고 파일은 «🔒 열람»으로만 남는다</t>
        </is>
      </c>
      <c r="G8" s="29" t="n"/>
      <c r="H8" s="7" t="n"/>
      <c r="I8" s="7" t="n"/>
    </row>
    <row r="9" ht="51" customHeight="1">
      <c r="A9" s="28" t="n">
        <v>15</v>
      </c>
      <c r="B9" s="3" t="inlineStr">
        <is>
          <t>박안전</t>
        </is>
      </c>
      <c r="C9" s="30" t="inlineStr">
        <is>
          <t>위험성평가 &gt; 정기 위험성평가</t>
        </is>
      </c>
      <c r="D9" s="17" t="inlineStr">
        <is>
          <t>내용이 빈 행은 전달되지 않는다</t>
        </is>
      </c>
      <c r="E9" s="3" t="inlineStr">
        <is>
          <t>① 한 부서에 [＋ 행 추가]
② 유해위험요인만 적고 개선조치는 비운다
③ 부서 전달을 눌러 본다</t>
        </is>
      </c>
      <c r="F9" s="3" t="inlineStr">
        <is>
          <t>«유효한 항목이 있는 부서가 없습니다. 요인명·개선조치를 채워주세요.»가 뜬다</t>
        </is>
      </c>
      <c r="G9" s="29" t="n"/>
      <c r="H9" s="7" t="n"/>
      <c r="I9" s="7" t="n"/>
    </row>
    <row r="10" ht="51" customHeight="1">
      <c r="A10" s="28" t="n">
        <v>16</v>
      </c>
      <c r="B10" s="30" t="inlineStr">
        <is>
          <t>박안전</t>
        </is>
      </c>
      <c r="C10" s="30" t="inlineStr">
        <is>
          <t>위험성평가 &gt; 정기 위험성평가</t>
        </is>
      </c>
      <c r="D10" s="17" t="inlineStr">
        <is>
          <t>부서별 개선조치 적기</t>
        </is>
      </c>
      <c r="E10" s="3" t="inlineStr">
        <is>
          <t>물순환사업소를 포함해 두 부서에 유해위험요인·원인·개선조치·담당자를 채운 행을 하나씩 만든다</t>
        </is>
      </c>
      <c r="F10" s="3" t="inlineStr">
        <is>
          <t>적은 행이 저장된다</t>
        </is>
      </c>
      <c r="G10" s="29" t="n"/>
      <c r="H10" s="7" t="n"/>
      <c r="I10" s="7" t="n"/>
    </row>
    <row r="11" ht="51" customHeight="1">
      <c r="A11" s="28" t="n">
        <v>17</v>
      </c>
      <c r="B11" s="30" t="inlineStr">
        <is>
          <t>박안전</t>
        </is>
      </c>
      <c r="C11" s="30" t="inlineStr">
        <is>
          <t>위험성평가 &gt; 정기 위험성평가</t>
        </is>
      </c>
      <c r="D11" s="17" t="inlineStr">
        <is>
          <t>시설물 칸 3가지 상태</t>
        </is>
      </c>
      <c r="E11" s="3" t="inlineStr">
        <is>
          <t>행 3개 중 ① 하나는 시설물을 지정
② 하나는 [해당 없음]
③ 하나는 그대로 둔다</t>
        </is>
      </c>
      <c r="F11" s="3" t="inlineStr">
        <is>
          <t>«지정 / 해당 없음 / 미지정»이 서로 다르게 보이고 어느 것도 다음 단계를 막지 않는다</t>
        </is>
      </c>
      <c r="G11" s="29" t="n"/>
      <c r="H11" s="7" t="n"/>
      <c r="I11" s="7" t="n"/>
    </row>
    <row r="12" ht="51" customHeight="1">
      <c r="A12" s="28" t="n">
        <v>18</v>
      </c>
      <c r="B12" s="30" t="inlineStr">
        <is>
          <t>박안전</t>
        </is>
      </c>
      <c r="C12" s="3" t="inlineStr">
        <is>
          <t>관리대상 &gt; 시설물 위험도</t>
        </is>
      </c>
      <c r="D12" s="17" t="inlineStr">
        <is>
          <t>시설물에서 넘어와 행 추가</t>
        </is>
      </c>
      <c r="E12" s="3" t="inlineStr">
        <is>
          <t>① 점수가 있는 시설물의 [근로자 위험성평가 연계]
② 넘어간 화면에서 부서의 [＋ 행 추가]</t>
        </is>
      </c>
      <c r="F12" s="3" t="inlineStr">
        <is>
          <t>위에 «시설물 ○○ 에서 넘어왔습니다» 안내가 있고 새 행에 그 시설물이 채워져 있다</t>
        </is>
      </c>
      <c r="G12" s="29" t="n"/>
      <c r="H12" s="7" t="n"/>
      <c r="I12" s="7" t="n"/>
    </row>
    <row r="13" ht="51" customHeight="1">
      <c r="A13" s="28" t="n">
        <v>19</v>
      </c>
      <c r="B13" s="30" t="inlineStr">
        <is>
          <t>박안전</t>
        </is>
      </c>
      <c r="C13" s="3" t="inlineStr">
        <is>
          <t>위험성평가 &gt; 정기 위험성평가</t>
        </is>
      </c>
      <c r="D13" s="17" t="inlineStr">
        <is>
          <t>보고서 취소 전에 한 번 묻는다</t>
        </is>
      </c>
      <c r="E13" s="3" t="inlineStr">
        <is>
          <t>① [보고서 취소·재업로드]
② 확인 창 문구를 읽고 [취소] (실행하지 마세요 — 적은 개선조치가 지워집니다)</t>
        </is>
      </c>
      <c r="F13" s="3" t="inlineStr">
        <is>
          <t>확인 창이 지워질 범위(부서 수·건수)를 알려 주고, [취소]하면 그대로다</t>
        </is>
      </c>
      <c r="G13" s="29" t="n"/>
      <c r="H13" s="7" t="n"/>
      <c r="I13" s="7" t="n"/>
    </row>
  </sheetData>
  <autoFilter ref="A3:I13"/>
  <mergeCells count="2">
    <mergeCell ref="A1:I1"/>
    <mergeCell ref="A2:I2"/>
  </mergeCells>
  <conditionalFormatting sqref="G4:G13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3">
    <cfRule type="expression" priority="7" dxfId="7">
      <formula>AND(OR($G4="실패",$G4="오류",$G4="문의"),$H4="")</formula>
    </cfRule>
  </conditionalFormatting>
  <dataValidations count="1">
    <dataValidation sqref="G4:G13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3 전달·조치·확인</t>
        </is>
      </c>
    </row>
    <row r="2" ht="24" customHeight="1">
      <c r="A2" s="26" t="inlineStr">
        <is>
          <t>🗂 앞 시트와 같은 탭에서 이어서 하세요.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20</v>
      </c>
      <c r="B4" s="3" t="inlineStr">
        <is>
          <t>박안전</t>
        </is>
      </c>
      <c r="C4" s="3" t="inlineStr">
        <is>
          <t>위험성평가 &gt; 정기 위험성평가</t>
        </is>
      </c>
      <c r="D4" s="17" t="inlineStr">
        <is>
          <t>조치기한 없이 전달하면 막힌다</t>
        </is>
      </c>
      <c r="E4" s="3" t="inlineStr">
        <is>
          <t>① 부서 전달
② 기한을 비운 채 [전달 실행]</t>
        </is>
      </c>
      <c r="F4" s="3" t="inlineStr">
        <is>
          <t>«일괄 기한 또는 부서별 기한을 지정하세요 (N개 부서 미지정).»가 뜬다</t>
        </is>
      </c>
      <c r="G4" s="29" t="n"/>
      <c r="H4" s="7" t="n"/>
      <c r="I4" s="7" t="n"/>
    </row>
    <row r="5" ht="66" customHeight="1">
      <c r="A5" s="28" t="n">
        <v>21</v>
      </c>
      <c r="B5" s="30" t="inlineStr">
        <is>
          <t>박안전</t>
        </is>
      </c>
      <c r="C5" s="30" t="inlineStr">
        <is>
          <t>위험성평가 &gt; 정기 위험성평가</t>
        </is>
      </c>
      <c r="D5" s="17" t="inlineStr">
        <is>
          <t>부서로 전달하기</t>
        </is>
      </c>
      <c r="E5" s="3" t="inlineStr">
        <is>
          <t>① 일괄 기한 2026-08-31
② 물순환사업소가 아닌 한 부서만 2026-07-10 으로 바꾼다
③ [전달 실행]</t>
        </is>
      </c>
      <c r="F5" s="3" t="inlineStr">
        <is>
          <t>«N개 부서에 개선조치 M건 전달»이 뜨고 표가 전달 상태로 바뀐다. 개선조치가 없는 부서는 자동으로 빠진다</t>
        </is>
      </c>
      <c r="G5" s="29" t="n"/>
      <c r="H5" s="7" t="n"/>
      <c r="I5" s="7" t="n"/>
    </row>
    <row r="6" ht="36" customHeight="1">
      <c r="A6" s="28" t="n">
        <v>22</v>
      </c>
      <c r="B6" s="3" t="inlineStr">
        <is>
          <t>하정수</t>
        </is>
      </c>
      <c r="C6" s="30" t="inlineStr">
        <is>
          <t>위험성평가 &gt; 정기 위험성평가</t>
        </is>
      </c>
      <c r="D6" s="17" t="inlineStr">
        <is>
          <t>부서 담당자는 자기 부서만 본다</t>
        </is>
      </c>
      <c r="E6" s="3" t="inlineStr">
        <is>
          <t>부서별 조치 표를 본다</t>
        </is>
      </c>
      <c r="F6" s="3" t="inlineStr">
        <is>
          <t>물순환사업소 줄만 보이고 다른 부서를 열 수단이 없다</t>
        </is>
      </c>
      <c r="G6" s="29" t="n"/>
      <c r="H6" s="7" t="n"/>
      <c r="I6" s="7" t="n"/>
    </row>
    <row r="7" ht="36" customHeight="1">
      <c r="A7" s="28" t="n">
        <v>23</v>
      </c>
      <c r="B7" s="3" t="inlineStr">
        <is>
          <t>정환경</t>
        </is>
      </c>
      <c r="C7" s="30" t="inlineStr">
        <is>
          <t>위험성평가 &gt; 정기 위험성평가</t>
        </is>
      </c>
      <c r="D7" s="17" t="inlineStr">
        <is>
          <t>다른 부서 담당자도 자기 부서만</t>
        </is>
      </c>
      <c r="E7" s="3" t="inlineStr">
        <is>
          <t>부서별 조치 표를 본다</t>
        </is>
      </c>
      <c r="F7" s="3" t="inlineStr">
        <is>
          <t>환경과 것만 보이고 물순환사업소 건의 버튼이 없다</t>
        </is>
      </c>
      <c r="G7" s="29" t="n"/>
      <c r="H7" s="7" t="n"/>
      <c r="I7" s="7" t="n"/>
    </row>
    <row r="8" ht="51" customHeight="1">
      <c r="A8" s="28" t="n">
        <v>24</v>
      </c>
      <c r="B8" s="3" t="inlineStr">
        <is>
          <t>하정수</t>
        </is>
      </c>
      <c r="C8" s="3" t="inlineStr">
        <is>
          <t>대시보드 &gt; 내 할일</t>
        </is>
      </c>
      <c r="D8" s="17" t="inlineStr">
        <is>
          <t>조치 완료는 사진·내용·서명이 있어야</t>
        </is>
      </c>
      <c r="E8" s="3" t="inlineStr">
        <is>
          <t>① 개선조치의 완료 처리를 연다
② 사진 없이 저장 → 사진만 넣고 저장 → 내용까지 넣고 서명 없이 저장</t>
        </is>
      </c>
      <c r="F8" s="3" t="inlineStr">
        <is>
          <t>차례로 «개선 후 사진을…» «조치 내용을 입력하세요.» «완료 확인 서명(이름)을…»으로 막힌다. 적은 값은 남아 있다</t>
        </is>
      </c>
      <c r="G8" s="29" t="n"/>
      <c r="H8" s="7" t="n"/>
      <c r="I8" s="7" t="n"/>
    </row>
    <row r="9" ht="36" customHeight="1">
      <c r="A9" s="28" t="n">
        <v>25</v>
      </c>
      <c r="B9" s="30" t="inlineStr">
        <is>
          <t>하정수</t>
        </is>
      </c>
      <c r="C9" s="30" t="inlineStr">
        <is>
          <t>대시보드 &gt; 내 할일</t>
        </is>
      </c>
      <c r="D9" s="17" t="inlineStr">
        <is>
          <t>조치 완료하기</t>
        </is>
      </c>
      <c r="E9" s="3" t="inlineStr">
        <is>
          <t>사진·내용·서명을 모두 채워 완료 → 같은 부서 건을 하나 더 완료</t>
        </is>
      </c>
      <c r="F9" s="3" t="inlineStr">
        <is>
          <t>완료되고 «확인 대기»가 붙는다</t>
        </is>
      </c>
      <c r="G9" s="29" t="n"/>
      <c r="H9" s="7" t="n"/>
      <c r="I9" s="7" t="n"/>
    </row>
    <row r="10" ht="36" customHeight="1">
      <c r="A10" s="28" t="n">
        <v>26</v>
      </c>
      <c r="B10" s="3" t="inlineStr">
        <is>
          <t>박안전</t>
        </is>
      </c>
      <c r="C10" s="3" t="inlineStr">
        <is>
          <t>위험성평가 &gt; 정기 위험성평가</t>
        </is>
      </c>
      <c r="D10" s="17" t="inlineStr">
        <is>
          <t>담당자·기한을 바꿀 땐 사유가 필요</t>
        </is>
      </c>
      <c r="E10" s="3" t="inlineStr">
        <is>
          <t>① 부서 상세에서 담당자나 기한을 바꾼다
② 사유 없이 저장 → 사유를 넣고 저장</t>
        </is>
      </c>
      <c r="F10" s="3" t="inlineStr">
        <is>
          <t>사유 없이는 «변경 사유를 입력하세요.» 저장하면 이력에 «기한 A → B — 사유»가 남는다</t>
        </is>
      </c>
      <c r="G10" s="29" t="n"/>
      <c r="H10" s="7" t="n"/>
      <c r="I10" s="7" t="n"/>
    </row>
    <row r="11" ht="51" customHeight="1">
      <c r="A11" s="28" t="n">
        <v>27</v>
      </c>
      <c r="B11" s="30" t="inlineStr">
        <is>
          <t>박안전</t>
        </is>
      </c>
      <c r="C11" s="30" t="inlineStr">
        <is>
          <t>위험성평가 &gt; 정기 위험성평가</t>
        </is>
      </c>
      <c r="D11" s="17" t="inlineStr">
        <is>
          <t>기한 지난 부서 재촉</t>
        </is>
      </c>
      <c r="E11" s="3" t="inlineStr">
        <is>
          <t>기한 2026-07-10 부서의 상세 → [재촉]</t>
        </is>
      </c>
      <c r="F11" s="3" t="inlineStr">
        <is>
          <t>«재촉 알림을 발송했습니다», 이력에 보낸 사람이 박안전으로 남는다. 완료한 건에는 재촉 버튼이 없다</t>
        </is>
      </c>
      <c r="G11" s="29" t="n"/>
      <c r="H11" s="7" t="n"/>
      <c r="I11" s="7" t="n"/>
    </row>
    <row r="12" ht="34" customHeight="1">
      <c r="A12" s="28" t="n">
        <v>28</v>
      </c>
      <c r="B12" s="3" t="inlineStr">
        <is>
          <t>김담양</t>
        </is>
      </c>
      <c r="C12" s="30" t="inlineStr">
        <is>
          <t>위험성평가 &gt; 정기 위험성평가</t>
        </is>
      </c>
      <c r="D12" s="17" t="inlineStr">
        <is>
          <t>군수는 재촉하지 않는다</t>
        </is>
      </c>
      <c r="E12" s="3" t="inlineStr">
        <is>
          <t>기한 지난 부서의 상세를 연다</t>
        </is>
      </c>
      <c r="F12" s="3" t="inlineStr">
        <is>
          <t>볼 수는 있지만 [재촉] 버튼이 없다</t>
        </is>
      </c>
      <c r="G12" s="29" t="n"/>
      <c r="H12" s="7" t="n"/>
      <c r="I12" s="7" t="n"/>
    </row>
    <row r="13" ht="36" customHeight="1">
      <c r="A13" s="28" t="n">
        <v>29</v>
      </c>
      <c r="B13" s="3" t="inlineStr">
        <is>
          <t>오순환</t>
        </is>
      </c>
      <c r="C13" s="30" t="inlineStr">
        <is>
          <t>위험성평가 &gt; 정기 위험성평가</t>
        </is>
      </c>
      <c r="D13" s="17" t="inlineStr">
        <is>
          <t>부서장은 자기 부서를 본다</t>
        </is>
      </c>
      <c r="E13" s="3" t="inlineStr">
        <is>
          <t>진행 상황을 본다</t>
        </is>
      </c>
      <c r="F13" s="3" t="inlineStr">
        <is>
          <t>물순환사업소만 보이고 제출·완료 같은 버튼이 없다</t>
        </is>
      </c>
      <c r="G13" s="29" t="n"/>
      <c r="H13" s="7" t="n"/>
      <c r="I13" s="7" t="n"/>
    </row>
    <row r="14" ht="51" customHeight="1">
      <c r="A14" s="28" t="n">
        <v>30</v>
      </c>
      <c r="B14" s="3" t="inlineStr">
        <is>
          <t>박안전</t>
        </is>
      </c>
      <c r="C14" s="30" t="inlineStr">
        <is>
          <t>위험성평가 &gt; 정기 위험성평가</t>
        </is>
      </c>
      <c r="D14" s="17" t="inlineStr">
        <is>
          <t>완료 확인 — 열람 체크를 해야 확인된다</t>
        </is>
      </c>
      <c r="E14" s="3" t="inlineStr">
        <is>
          <t>① 물순환사업소 부서 상세의 확인 대기 카드
② 체크 없이 [확인]
③ «…열람했습니다»를 체크하고 [확인]</t>
        </is>
      </c>
      <c r="F14" s="3" t="inlineStr">
        <is>
          <t>체크 전에는 [확인]이 눌리지 않는다. 확인하면 «확인 완료»가 된다</t>
        </is>
      </c>
      <c r="G14" s="29" t="n"/>
      <c r="H14" s="7" t="n"/>
      <c r="I14" s="7" t="n"/>
    </row>
    <row r="15" ht="51" customHeight="1">
      <c r="A15" s="28" t="n">
        <v>31</v>
      </c>
      <c r="B15" s="30" t="inlineStr">
        <is>
          <t>박안전</t>
        </is>
      </c>
      <c r="C15" s="30" t="inlineStr">
        <is>
          <t>위험성평가 &gt; 정기 위험성평가</t>
        </is>
      </c>
      <c r="D15" s="17" t="inlineStr">
        <is>
          <t>반려는 사유가 있어야</t>
        </is>
      </c>
      <c r="E15" s="3" t="inlineStr">
        <is>
          <t>다른 확인 대기 건을 ① 사유 없이 반려
② 사유를 넣고 반려</t>
        </is>
      </c>
      <c r="F15" s="3" t="inlineStr">
        <is>
          <t>사유 없이는 «반려 사유를 입력하세요 — …»로 막히고, 반려하면 카드에 사유와 회차가 보인다</t>
        </is>
      </c>
      <c r="G15" s="29" t="n"/>
      <c r="H15" s="7" t="n"/>
      <c r="I15" s="7" t="n"/>
    </row>
    <row r="16" ht="36" customHeight="1">
      <c r="A16" s="28" t="n">
        <v>32</v>
      </c>
      <c r="B16" s="3" t="inlineStr">
        <is>
          <t>하정수</t>
        </is>
      </c>
      <c r="C16" s="3" t="inlineStr">
        <is>
          <t>대시보드 &gt; 내 할일</t>
        </is>
      </c>
      <c r="D16" s="17" t="inlineStr">
        <is>
          <t>반려된 건을 다시 낸다</t>
        </is>
      </c>
      <c r="E16" s="3" t="inlineStr">
        <is>
          <t>① 내 할일에 반려 건이 다시 떠 있는지 본다
② [재제출]로 다시 완료</t>
        </is>
      </c>
      <c r="F16" s="3" t="inlineStr">
        <is>
          <t>반려 건이 할 일에 다시 있고 사유가 보인다. 재제출하면 «확인 대기»로 돌아간다</t>
        </is>
      </c>
      <c r="G16" s="29" t="n"/>
      <c r="H16" s="7" t="n"/>
      <c r="I16" s="7" t="n"/>
    </row>
    <row r="17" ht="51" customHeight="1">
      <c r="A17" s="28" t="n">
        <v>33</v>
      </c>
      <c r="B17" s="3" t="inlineStr">
        <is>
          <t>박안전</t>
        </is>
      </c>
      <c r="C17" s="3" t="inlineStr">
        <is>
          <t>위험성평가 &gt; 정기 위험성평가</t>
        </is>
      </c>
      <c r="D17" s="17" t="inlineStr">
        <is>
          <t>확인이 덜 끝나면 공문을 못 쓴다</t>
        </is>
      </c>
      <c r="E17" s="3" t="inlineStr">
        <is>
          <t>화면의 공문(온나라 이관) 영역을 본다</t>
        </is>
      </c>
      <c r="F17" s="3" t="inlineStr">
        <is>
          <t>«전 건 확인 완료 후 기안할 수 있습니다 (확인 대기 N건 · 반려 M건)»처럼 남은 건수를 알려 준다</t>
        </is>
      </c>
      <c r="G17" s="29" t="n"/>
      <c r="H17" s="7" t="n"/>
      <c r="I17" s="7" t="n"/>
    </row>
    <row r="18" ht="51" customHeight="1">
      <c r="A18" s="28" t="n">
        <v>34</v>
      </c>
      <c r="B18" s="30" t="inlineStr">
        <is>
          <t>박안전</t>
        </is>
      </c>
      <c r="C18" s="30" t="inlineStr">
        <is>
          <t>위험성평가 &gt; 정기 위험성평가</t>
        </is>
      </c>
      <c r="D18" s="17" t="inlineStr">
        <is>
          <t>전 부서 확인 마치기</t>
        </is>
      </c>
      <c r="E18" s="3" t="inlineStr">
        <is>
          <t>남은 확인 대기 건을 모두 확인한다(다른 부서의 조치 완료는 박안전이 대신 처리해도 된다)</t>
        </is>
      </c>
      <c r="F18" s="3" t="inlineStr">
        <is>
          <t>완료 부서 수가 대상 부서 수와 같아지고 공문 영역이 «전 부서 확인 완료 — 공문을 작성해…»로 바뀐다</t>
        </is>
      </c>
      <c r="G18" s="29" t="n"/>
      <c r="H18" s="7" t="n"/>
      <c r="I18" s="7" t="n"/>
    </row>
    <row r="19" ht="36" customHeight="1">
      <c r="A19" s="28" t="n">
        <v>35</v>
      </c>
      <c r="B19" s="30" t="inlineStr">
        <is>
          <t>박안전</t>
        </is>
      </c>
      <c r="C19" s="30" t="inlineStr">
        <is>
          <t>위험성평가 &gt; 정기 위험성평가</t>
        </is>
      </c>
      <c r="D19" s="17" t="inlineStr">
        <is>
          <t>이력 탭</t>
        </is>
      </c>
      <c r="E19" s="3" t="inlineStr">
        <is>
          <t>[이력] 탭을 연다</t>
        </is>
      </c>
      <c r="F19" s="3" t="inlineStr">
        <is>
          <t>만들기·첨부·전달·재촉·변경·확인·반려가 시간순으로 모두 있다</t>
        </is>
      </c>
      <c r="G19" s="29" t="n"/>
      <c r="H19" s="7" t="n"/>
      <c r="I19" s="7" t="n"/>
    </row>
  </sheetData>
  <autoFilter ref="A3:I19"/>
  <mergeCells count="2">
    <mergeCell ref="A1:I1"/>
    <mergeCell ref="A2:I2"/>
  </mergeCells>
  <conditionalFormatting sqref="G4:G1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9">
    <cfRule type="expression" priority="7" dxfId="7">
      <formula>AND(OR($G4="실패",$G4="오류",$G4="문의"),$H4="")</formula>
    </cfRule>
  </conditionalFormatting>
  <dataValidations count="1">
    <dataValidation sqref="G4:G1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4 공문·결재</t>
        </is>
      </c>
    </row>
    <row r="2" ht="24" customHeight="1">
      <c r="A2" s="26" t="inlineStr">
        <is>
          <t>🗂 앞 시트와 같은 탭에서 이어서 하세요. 위험성평가는 결재 결과를 «회신 등록»으로 옮겨 적습니다.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81" customHeight="1">
      <c r="A4" s="28" t="n">
        <v>36</v>
      </c>
      <c r="B4" s="3" t="inlineStr">
        <is>
          <t>박안전</t>
        </is>
      </c>
      <c r="C4" s="3" t="inlineStr">
        <is>
          <t>위험성평가 &gt; 정기 위험성평가</t>
        </is>
      </c>
      <c r="D4" s="17" t="inlineStr">
        <is>
          <t>공문 쓰기 → 미리보기 → 상신 순서</t>
        </is>
      </c>
      <c r="E4" s="3" t="inlineStr">
        <is>
          <t>① [공문 기안]
② 본문을 직접 쓴다(삽입 칩도 눌러 본다)
③ 붙임을 고른다
④ [문서 미리보기 →]
⑤ [온나라로 결재 상신] → [상신]</t>
        </is>
      </c>
      <c r="F4" s="3" t="inlineStr">
        <is>
          <t>기안 화면에는 상신 버튼이 없고 미리보기에서만 상신한다. 본문은 자동으로 채워지지 않는다. 상신하면 문서번호가 붙고 «결재중»</t>
        </is>
      </c>
      <c r="G4" s="29" t="n"/>
      <c r="H4" s="7" t="n"/>
      <c r="I4" s="7" t="n"/>
    </row>
    <row r="5" ht="51" customHeight="1">
      <c r="A5" s="28" t="n">
        <v>37</v>
      </c>
      <c r="B5" s="30" t="inlineStr">
        <is>
          <t>박안전</t>
        </is>
      </c>
      <c r="C5" s="30" t="inlineStr">
        <is>
          <t>위험성평가 &gt; 정기 위험성평가</t>
        </is>
      </c>
      <c r="D5" s="17" t="inlineStr">
        <is>
          <t>결재선 — 같은 사람을 두 번 못 넣는다</t>
        </is>
      </c>
      <c r="E5" s="3" t="inlineStr">
        <is>
          <t>기안 화면의 결재선에서 ① 조직도로 검토·결재에 같은 사람을 고른다
② 한 칸을 비우고 상신한다</t>
        </is>
      </c>
      <c r="F5" s="3" t="inlineStr">
        <is>
          <t>이미 고른 사람과 기안자는 흐리게 보이고 고를 수 없다. 칸이 비면 상신이 막히고 이유가 나온다</t>
        </is>
      </c>
      <c r="G5" s="29" t="n"/>
      <c r="H5" s="7" t="n"/>
      <c r="I5" s="7" t="n"/>
    </row>
    <row r="6" ht="66" customHeight="1">
      <c r="A6" s="28" t="n">
        <v>38</v>
      </c>
      <c r="B6" s="30" t="inlineStr">
        <is>
          <t>박안전</t>
        </is>
      </c>
      <c r="C6" s="30" t="inlineStr">
        <is>
          <t>위험성평가 &gt; 정기 위험성평가</t>
        </is>
      </c>
      <c r="D6" s="17" t="inlineStr">
        <is>
          <t>결재 결과 옮겨 적기</t>
        </is>
      </c>
      <c r="E6" s="3" t="inlineStr">
        <is>
          <t>① [결재 상태]
② «결재 결과 회신 등록»
③ 반려를 사유 없이 등록해 본다
④ 검토 승인 → 결재 완료</t>
        </is>
      </c>
      <c r="F6" s="3" t="inlineStr">
        <is>
          <t>«연계 전 수동 기록»이라고 밝히고 처리자 이름이 결재선에서 나온다. 사유 없는 반려는 안 된다. 결재 완료면 평가가 끝난다</t>
        </is>
      </c>
      <c r="G6" s="29" t="n"/>
      <c r="H6" s="7" t="n"/>
      <c r="I6" s="7" t="n"/>
    </row>
    <row r="7" ht="36" customHeight="1">
      <c r="A7" s="28" t="n">
        <v>39</v>
      </c>
      <c r="B7" s="30" t="inlineStr">
        <is>
          <t>박안전</t>
        </is>
      </c>
      <c r="C7" s="30" t="inlineStr">
        <is>
          <t>위험성평가 &gt; 정기 위험성평가</t>
        </is>
      </c>
      <c r="D7" s="17" t="inlineStr">
        <is>
          <t>상신 뒤에는 잠긴다</t>
        </is>
      </c>
      <c r="E7" s="3" t="inlineStr">
        <is>
          <t>부서 상세에서 확인한 건을 확인 취소·반려해 본다</t>
        </is>
      </c>
      <c r="F7" s="3" t="inlineStr">
        <is>
          <t>할 수 없고 잠긴 이유가 나온다</t>
        </is>
      </c>
      <c r="G7" s="29" t="n"/>
      <c r="H7" s="7" t="n"/>
      <c r="I7" s="7" t="n"/>
    </row>
    <row r="8" ht="36" customHeight="1">
      <c r="A8" s="28" t="n">
        <v>40</v>
      </c>
      <c r="B8" s="3" t="inlineStr">
        <is>
          <t>홍길동 → 김담양</t>
        </is>
      </c>
      <c r="C8" s="30" t="inlineStr">
        <is>
          <t>위험성평가 &gt; 정기 위험성평가</t>
        </is>
      </c>
      <c r="D8" s="17" t="inlineStr">
        <is>
          <t>과장·군수에게는 공문 버튼이 없다</t>
        </is>
      </c>
      <c r="E8" s="3" t="inlineStr">
        <is>
          <t>같은 화면을 본다</t>
        </is>
      </c>
      <c r="F8" s="3" t="inlineStr">
        <is>
          <t>[공문 기안]·[상신]이 없고 결재 상태는 볼 수 있다</t>
        </is>
      </c>
      <c r="G8" s="29" t="n"/>
      <c r="H8" s="7" t="n"/>
      <c r="I8" s="7" t="n"/>
    </row>
    <row r="9" ht="51" customHeight="1">
      <c r="A9" s="28" t="n">
        <v>41</v>
      </c>
      <c r="B9" s="3" t="inlineStr">
        <is>
          <t>박안전</t>
        </is>
      </c>
      <c r="C9" s="30" t="inlineStr">
        <is>
          <t>위험성평가 &gt; 정기 위험성평가</t>
        </is>
      </c>
      <c r="D9" s="17" t="inlineStr">
        <is>
          <t>지난 평가 둘러보기</t>
        </is>
      </c>
      <c r="E9" s="3" t="inlineStr">
        <is>
          <t>① 연도 2025
② [문서 보기]·[결재 상태]·부서 상세를 연다
③ 설문조사표 파일 이름을 누른다</t>
        </is>
      </c>
      <c r="F9" s="3" t="inlineStr">
        <is>
          <t>창이 잘 열린다. 파일은 «문서 뷰어는 전자문서 연계 후 제공됩니다»가 뜬다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5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5 수시평가</t>
        </is>
      </c>
    </row>
    <row r="2" ht="24" customHeight="1">
      <c r="A2" s="26" t="inlineStr">
        <is>
          <t>🗂 새 탭에서 시작해도 됩니다. 수시 위험성평가는 부서가 사유가 생겨 올리고, 재난안전과 확인 단계가 없습니다.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42</v>
      </c>
      <c r="B4" s="3" t="inlineStr">
        <is>
          <t>하정수</t>
        </is>
      </c>
      <c r="C4" s="3" t="inlineStr">
        <is>
          <t>위험성평가 &gt; 수시 위험성평가</t>
        </is>
      </c>
      <c r="D4" s="17" t="inlineStr">
        <is>
          <t>등록은 실시 사유부터</t>
        </is>
      </c>
      <c r="E4" s="3" t="inlineStr">
        <is>
          <t>[＋ 수시평가 등록]</t>
        </is>
      </c>
      <c r="F4" s="3" t="inlineStr">
        <is>
          <t>실시 사유를 먼저 고르게 하고, 부서는 물순환사업소로 고정돼 있다</t>
        </is>
      </c>
      <c r="G4" s="29" t="n"/>
      <c r="H4" s="7" t="n"/>
      <c r="I4" s="7" t="n"/>
    </row>
    <row r="5" ht="36" customHeight="1">
      <c r="A5" s="28" t="n">
        <v>43</v>
      </c>
      <c r="B5" s="3" t="inlineStr">
        <is>
          <t>박안전</t>
        </is>
      </c>
      <c r="C5" s="30" t="inlineStr">
        <is>
          <t>위험성평가 &gt; 수시 위험성평가</t>
        </is>
      </c>
      <c r="D5" s="17" t="inlineStr">
        <is>
          <t>박안전은 부서를 고를 수 있다</t>
        </is>
      </c>
      <c r="E5" s="3" t="inlineStr">
        <is>
          <t>같은 등록 창을 연다</t>
        </is>
      </c>
      <c r="F5" s="3" t="inlineStr">
        <is>
          <t>조직도로 부서를 고를 수 있다</t>
        </is>
      </c>
      <c r="G5" s="29" t="n"/>
      <c r="H5" s="7" t="n"/>
      <c r="I5" s="7" t="n"/>
    </row>
    <row r="6" ht="51" customHeight="1">
      <c r="A6" s="28" t="n">
        <v>44</v>
      </c>
      <c r="B6" s="3" t="inlineStr">
        <is>
          <t>하정수</t>
        </is>
      </c>
      <c r="C6" s="30" t="inlineStr">
        <is>
          <t>위험성평가 &gt; 수시 위험성평가</t>
        </is>
      </c>
      <c r="D6" s="17" t="inlineStr">
        <is>
          <t>빈 칸이 있으면 등록되지 않는다</t>
        </is>
      </c>
      <c r="E6" s="3" t="inlineStr">
        <is>
          <t>① 발생일·내용을 비우고 [등록]
② 채우고 유해위험요인·감소대책을 비우고 [등록]</t>
        </is>
      </c>
      <c r="F6" s="3" t="inlineStr">
        <is>
          <t>«부서·사유·발생일·내용을 모두 입력하세요.» / «유해위험요인과 위험성 감소대책을 최소 1건 입력하세요.»로 막힌다</t>
        </is>
      </c>
      <c r="G6" s="29" t="n"/>
      <c r="H6" s="7" t="n"/>
      <c r="I6" s="7" t="n"/>
    </row>
    <row r="7" ht="81" customHeight="1">
      <c r="A7" s="28" t="n">
        <v>45</v>
      </c>
      <c r="B7" s="30" t="inlineStr">
        <is>
          <t>하정수</t>
        </is>
      </c>
      <c r="C7" s="30" t="inlineStr">
        <is>
          <t>위험성평가 &gt; 수시 위험성평가</t>
        </is>
      </c>
      <c r="D7" s="17" t="inlineStr">
        <is>
          <t>재해 사유면 칸이 더 생긴다</t>
        </is>
      </c>
      <c r="E7" s="3" t="inlineStr">
        <is>
          <t>① 사유를 «중대산업사고 또는 산업재해 발생»으로
② 재해 개요·작업 재개 예정일을 비우고 [등록]
③ 사유를 바꿨다가 되돌린다</t>
        </is>
      </c>
      <c r="F7" s="3" t="inlineStr">
        <is>
          <t>두 칸이 생기고 비우면 막힌다. 사유를 바꿔도 적은 값이 남아 있다</t>
        </is>
      </c>
      <c r="G7" s="29" t="n"/>
      <c r="H7" s="7" t="n"/>
      <c r="I7" s="7" t="n"/>
    </row>
    <row r="8" ht="51" customHeight="1">
      <c r="A8" s="28" t="n">
        <v>46</v>
      </c>
      <c r="B8" s="30" t="inlineStr">
        <is>
          <t>하정수</t>
        </is>
      </c>
      <c r="C8" s="30" t="inlineStr">
        <is>
          <t>위험성평가 &gt; 수시 위험성평가</t>
        </is>
      </c>
      <c r="D8" s="17" t="inlineStr">
        <is>
          <t>요인 행 추가·삭제</t>
        </is>
      </c>
      <c r="E8" s="3" t="inlineStr">
        <is>
          <t>① 행을 10개까지 추가하고 한 번 더
② 1개만 남기고 삭제해 본다
③ 개선 전 사진을 첨부한다</t>
        </is>
      </c>
      <c r="F8" s="3" t="inlineStr">
        <is>
          <t>«한 번에 최대 10건까지…» «최소 1건은 있어야 합니다…»가 뜬다. 사진은 «개선 전 사진 N건 첨부»</t>
        </is>
      </c>
      <c r="G8" s="29" t="n"/>
      <c r="H8" s="7" t="n"/>
      <c r="I8" s="7" t="n"/>
    </row>
    <row r="9" ht="36" customHeight="1">
      <c r="A9" s="28" t="n">
        <v>47</v>
      </c>
      <c r="B9" s="30" t="inlineStr">
        <is>
          <t>하정수</t>
        </is>
      </c>
      <c r="C9" s="30" t="inlineStr">
        <is>
          <t>위험성평가 &gt; 수시 위험성평가</t>
        </is>
      </c>
      <c r="D9" s="17" t="inlineStr">
        <is>
          <t>등록하면 개선조치가 생긴다</t>
        </is>
      </c>
      <c r="E9" s="3" t="inlineStr">
        <is>
          <t>내용 QA_설비변경작업, 요인 2건으로 [등록] → 내 할일 확인</t>
        </is>
      </c>
      <c r="F9" s="3" t="inlineStr">
        <is>
          <t>«수시평가 등록 · 개선조치 2건 생성…»이 뜨고 내 할일에 개선조치 2건이 생긴다</t>
        </is>
      </c>
      <c r="G9" s="29" t="n"/>
      <c r="H9" s="7" t="n"/>
      <c r="I9" s="7" t="n"/>
    </row>
    <row r="10" ht="51" customHeight="1">
      <c r="A10" s="28" t="n">
        <v>48</v>
      </c>
      <c r="B10" s="3" t="inlineStr">
        <is>
          <t>박안전</t>
        </is>
      </c>
      <c r="C10" s="30" t="inlineStr">
        <is>
          <t>위험성평가 &gt; 수시 위험성평가</t>
        </is>
      </c>
      <c r="D10" s="17" t="inlineStr">
        <is>
          <t>안전관리자 검토파일</t>
        </is>
      </c>
      <c r="E10" s="3" t="inlineStr">
        <is>
          <t>① [＋ 검토파일 등록]
② 파일명 비우고 → 검토자 이름 비우고 → 다 채워서 등록</t>
        </is>
      </c>
      <c r="F10" s="3" t="inlineStr">
        <is>
          <t>빈 칸이면 막히고, 다 채우면 «… 검토완료 처리»와 함께 상태가 «검토 완료»</t>
        </is>
      </c>
      <c r="G10" s="29" t="n"/>
      <c r="H10" s="7" t="n"/>
      <c r="I10" s="7" t="n"/>
    </row>
    <row r="11" ht="36" customHeight="1">
      <c r="A11" s="28" t="n">
        <v>49</v>
      </c>
      <c r="B11" s="3" t="inlineStr">
        <is>
          <t>하정수</t>
        </is>
      </c>
      <c r="C11" s="30" t="inlineStr">
        <is>
          <t>위험성평가 &gt; 수시 위험성평가</t>
        </is>
      </c>
      <c r="D11" s="17" t="inlineStr">
        <is>
          <t>검토파일은 재난안전과만</t>
        </is>
      </c>
      <c r="E11" s="3" t="inlineStr">
        <is>
          <t>같은 건을 본다</t>
        </is>
      </c>
      <c r="F11" s="3" t="inlineStr">
        <is>
          <t>[＋ 검토파일 등록]이 없거나, 누르면 «… 재난안전과 담당자가 첨부합니다»로 막힌다</t>
        </is>
      </c>
      <c r="G11" s="29" t="n"/>
      <c r="H11" s="7" t="n"/>
      <c r="I11" s="7" t="n"/>
    </row>
    <row r="12" ht="36" customHeight="1">
      <c r="A12" s="28" t="n">
        <v>50</v>
      </c>
      <c r="B12" s="3" t="inlineStr">
        <is>
          <t>박안전</t>
        </is>
      </c>
      <c r="C12" s="30" t="inlineStr">
        <is>
          <t>위험성평가 &gt; 수시 위험성평가</t>
        </is>
      </c>
      <c r="D12" s="17" t="inlineStr">
        <is>
          <t>검토파일 해제는 한 번 더 묻는다</t>
        </is>
      </c>
      <c r="E12" s="3" t="inlineStr">
        <is>
          <t>[해제] → [취소] → 다시 [해제] → 확인</t>
        </is>
      </c>
      <c r="F12" s="3" t="inlineStr">
        <is>
          <t>바로 지우지 않고 확인 창이 뜬다. 확인하면 «검토파일 삭제 · 검토완료 해제»</t>
        </is>
      </c>
      <c r="G12" s="29" t="n"/>
      <c r="H12" s="7" t="n"/>
      <c r="I12" s="7" t="n"/>
    </row>
    <row r="13" ht="36" customHeight="1">
      <c r="A13" s="28" t="n">
        <v>51</v>
      </c>
      <c r="B13" s="3" t="inlineStr">
        <is>
          <t>하정수</t>
        </is>
      </c>
      <c r="C13" s="30" t="inlineStr">
        <is>
          <t>위험성평가 &gt; 수시 위험성평가</t>
        </is>
      </c>
      <c r="D13" s="17" t="inlineStr">
        <is>
          <t>수시평가 개선조치 완료</t>
        </is>
      </c>
      <c r="E13" s="3" t="inlineStr">
        <is>
          <t>[조치 상세]에서 사진·내용·서명을 넣고 완료</t>
        </is>
      </c>
      <c r="F13" s="3" t="inlineStr">
        <is>
          <t>완료된다(수시평가는 재난안전과 확인 단계가 없다 — 정상)</t>
        </is>
      </c>
      <c r="G13" s="29" t="n"/>
      <c r="H13" s="7" t="n"/>
      <c r="I13" s="7" t="n"/>
    </row>
    <row r="14" ht="36" customHeight="1">
      <c r="A14" s="28" t="n">
        <v>52</v>
      </c>
      <c r="B14" s="3" t="inlineStr">
        <is>
          <t>박안전</t>
        </is>
      </c>
      <c r="C14" s="30" t="inlineStr">
        <is>
          <t>위험성평가 &gt; 수시 위험성평가</t>
        </is>
      </c>
      <c r="D14" s="17" t="inlineStr">
        <is>
          <t>목록 조건</t>
        </is>
      </c>
      <c r="E14" s="3" t="inlineStr">
        <is>
          <t>연도·실시 사유 조건을 건다 → 목록과 [조치 상세]를 비교</t>
        </is>
      </c>
      <c r="F14" s="3" t="inlineStr">
        <is>
          <t>조건대로 걸러지고 목록과 상세 내용이 같다</t>
        </is>
      </c>
      <c r="G14" s="29" t="n"/>
      <c r="H14" s="7" t="n"/>
      <c r="I14" s="7" t="n"/>
    </row>
    <row r="15" ht="36" customHeight="1">
      <c r="A15" s="28" t="n">
        <v>53</v>
      </c>
      <c r="B15" s="3" t="inlineStr">
        <is>
          <t>하정수 → 정환경 → 김담양</t>
        </is>
      </c>
      <c r="C15" s="30" t="inlineStr">
        <is>
          <t>위험성평가 &gt; 수시 위험성평가</t>
        </is>
      </c>
      <c r="D15" s="17" t="inlineStr">
        <is>
          <t>누가 무엇을 보나</t>
        </is>
      </c>
      <c r="E15" s="3" t="inlineStr">
        <is>
          <t>계정을 바꿔 가며 목록을 본다</t>
        </is>
      </c>
      <c r="F15" s="3" t="inlineStr">
        <is>
          <t>하정수·정환경은 자기 부서 건만 보인다. 김담양은 전부 보지만 등록·검토 버튼이 없다</t>
        </is>
      </c>
      <c r="G15" s="29" t="n"/>
      <c r="H15" s="7" t="n"/>
      <c r="I15" s="7" t="n"/>
    </row>
  </sheetData>
  <autoFilter ref="A3:I15"/>
  <mergeCells count="2">
    <mergeCell ref="A1:I1"/>
    <mergeCell ref="A2:I2"/>
  </mergeCells>
  <conditionalFormatting sqref="G4:G15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5">
    <cfRule type="expression" priority="7" dxfId="7">
      <formula>AND(OR($G4="실패",$G4="오류",$G4="문의"),$H4="")</formula>
    </cfRule>
  </conditionalFormatting>
  <dataValidations count="1">
    <dataValidation sqref="G4:G15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위험성평가</t>
        </is>
      </c>
    </row>
    <row r="3">
      <c r="A3" t="inlineStr">
        <is>
          <t>담당자</t>
        </is>
      </c>
      <c r="B3" t="inlineStr">
        <is>
          <t>박진우</t>
        </is>
      </c>
    </row>
    <row r="4">
      <c r="A4" t="inlineStr">
        <is>
          <t>파일 코드</t>
        </is>
      </c>
      <c r="B4" t="inlineStr">
        <is>
          <t>RA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2026-09-28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2026-09-28T08:54:00Z</dcterms:created>
  <dcterms:modified xmlns:dcterms="http://purl.org/dc/terms/" xmlns:xsi="http://www.w3.org/2001/XMLSchema-instance" xsi:type="dcterms:W3CDTF">2026-09-28T08:54:00Z</dcterms:modified>
</cp:coreProperties>
</file>