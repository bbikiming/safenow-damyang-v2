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경영방침" sheetId="3" state="visible" r:id="rId3"/>
    <sheet xmlns:r="http://schemas.openxmlformats.org/officeDocument/2006/relationships" name="조직" sheetId="4" state="visible" r:id="rId4"/>
    <sheet xmlns:r="http://schemas.openxmlformats.org/officeDocument/2006/relationships" name="이행점검" sheetId="5" state="visible" r:id="rId5"/>
    <sheet xmlns:r="http://schemas.openxmlformats.org/officeDocument/2006/relationships" name="도급관리" sheetId="6" state="visible" r:id="rId6"/>
    <sheet xmlns:r="http://schemas.openxmlformats.org/officeDocument/2006/relationships" name="_정보" sheetId="7" state="hidden" r:id="rId7"/>
  </sheets>
  <definedNames>
    <definedName name="_xlnm._FilterDatabase" localSheetId="2" hidden="1">'경영방침'!$A$3:$I$7</definedName>
    <definedName name="_xlnm.Print_Titles" localSheetId="2">'경영방침'!$3:$3</definedName>
    <definedName name="_xlnm._FilterDatabase" localSheetId="3" hidden="1">'조직'!$A$3:$I$8</definedName>
    <definedName name="_xlnm.Print_Titles" localSheetId="3">'조직'!$3:$3</definedName>
    <definedName name="_xlnm._FilterDatabase" localSheetId="4" hidden="1">'이행점검'!$A$3:$I$9</definedName>
    <definedName name="_xlnm.Print_Titles" localSheetId="4">'이행점검'!$3:$3</definedName>
    <definedName name="_xlnm._FilterDatabase" localSheetId="5" hidden="1">'도급관리'!$A$3:$I$7</definedName>
    <definedName name="_xlnm.Print_Titles" localSheetId="5">'도급관리'!$3:$3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안전보건관리체계 · 박진우</t>
        </is>
      </c>
    </row>
    <row r="3" ht="22" customHeight="1">
      <c r="A3" s="2" t="inlineStr">
        <is>
          <t>메뉴</t>
        </is>
      </c>
      <c r="B3" s="3" t="inlineStr">
        <is>
          <t>안전보건관리체계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박진우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이 파일</t>
        </is>
      </c>
      <c r="B5" s="3" t="inlineStr">
        <is>
          <t>경영방침 · 조직 · 이행점검 · 도급관리를 봅니다. 경영방침과 이행점검 반기 마감은 결재 결과를 «회신 등록»으로 옮겨 적습니다.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19줄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경영방침 → 조직 → 이행점검 → 도급관리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안전보건관리체계 · 박진우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경영방침</t>
        </is>
      </c>
      <c r="B5" s="21">
        <f>COUNTA('경영방침'!$A$4:$A$7)</f>
        <v>4</v>
      </c>
      <c r="C5" s="21">
        <f>COUNTIF('경영방침'!$G$4:$G$7,"성공")</f>
        <v>0</v>
      </c>
      <c r="D5" s="21">
        <f>COUNTIF('경영방침'!$G$4:$G$7,"실패")</f>
        <v>0</v>
      </c>
      <c r="E5" s="21">
        <f>COUNTIF('경영방침'!$G$4:$G$7,"오류")</f>
        <v>0</v>
      </c>
      <c r="F5" s="21">
        <f>COUNTIF('경영방침'!$G$4:$G$7,"보류")</f>
        <v>0</v>
      </c>
      <c r="G5" s="21">
        <f>COUNTIF('경영방침'!$G$4:$G$7,"확인 불가")</f>
        <v>0</v>
      </c>
      <c r="H5" s="21">
        <f>COUNTIF('경영방침'!$G$4:$G$7,"문의")</f>
        <v>0</v>
      </c>
      <c r="I5" s="21">
        <f>COUNTBLANK('경영방침'!$G$4:$G$7)</f>
        <v>4</v>
      </c>
      <c r="J5" s="22">
        <f>IF(B5=0,0,(B5-I5)/B5)</f>
        <v>0</v>
      </c>
    </row>
    <row r="6" ht="22" customHeight="1">
      <c r="A6" s="20" t="inlineStr">
        <is>
          <t>조직</t>
        </is>
      </c>
      <c r="B6" s="21">
        <f>COUNTA('조직'!$A$4:$A$8)</f>
        <v>5</v>
      </c>
      <c r="C6" s="21">
        <f>COUNTIF('조직'!$G$4:$G$8,"성공")</f>
        <v>0</v>
      </c>
      <c r="D6" s="21">
        <f>COUNTIF('조직'!$G$4:$G$8,"실패")</f>
        <v>0</v>
      </c>
      <c r="E6" s="21">
        <f>COUNTIF('조직'!$G$4:$G$8,"오류")</f>
        <v>0</v>
      </c>
      <c r="F6" s="21">
        <f>COUNTIF('조직'!$G$4:$G$8,"보류")</f>
        <v>0</v>
      </c>
      <c r="G6" s="21">
        <f>COUNTIF('조직'!$G$4:$G$8,"확인 불가")</f>
        <v>0</v>
      </c>
      <c r="H6" s="21">
        <f>COUNTIF('조직'!$G$4:$G$8,"문의")</f>
        <v>0</v>
      </c>
      <c r="I6" s="21">
        <f>COUNTBLANK('조직'!$G$4:$G$8)</f>
        <v>5</v>
      </c>
      <c r="J6" s="22">
        <f>IF(B6=0,0,(B6-I6)/B6)</f>
        <v>0</v>
      </c>
    </row>
    <row r="7" ht="22" customHeight="1">
      <c r="A7" s="20" t="inlineStr">
        <is>
          <t>이행점검</t>
        </is>
      </c>
      <c r="B7" s="21">
        <f>COUNTA('이행점검'!$A$4:$A$9)</f>
        <v>6</v>
      </c>
      <c r="C7" s="21">
        <f>COUNTIF('이행점검'!$G$4:$G$9,"성공")</f>
        <v>0</v>
      </c>
      <c r="D7" s="21">
        <f>COUNTIF('이행점검'!$G$4:$G$9,"실패")</f>
        <v>0</v>
      </c>
      <c r="E7" s="21">
        <f>COUNTIF('이행점검'!$G$4:$G$9,"오류")</f>
        <v>0</v>
      </c>
      <c r="F7" s="21">
        <f>COUNTIF('이행점검'!$G$4:$G$9,"보류")</f>
        <v>0</v>
      </c>
      <c r="G7" s="21">
        <f>COUNTIF('이행점검'!$G$4:$G$9,"확인 불가")</f>
        <v>0</v>
      </c>
      <c r="H7" s="21">
        <f>COUNTIF('이행점검'!$G$4:$G$9,"문의")</f>
        <v>0</v>
      </c>
      <c r="I7" s="21">
        <f>COUNTBLANK('이행점검'!$G$4:$G$9)</f>
        <v>6</v>
      </c>
      <c r="J7" s="22">
        <f>IF(B7=0,0,(B7-I7)/B7)</f>
        <v>0</v>
      </c>
    </row>
    <row r="8" ht="22" customHeight="1">
      <c r="A8" s="20" t="inlineStr">
        <is>
          <t>도급관리</t>
        </is>
      </c>
      <c r="B8" s="21">
        <f>COUNTA('도급관리'!$A$4:$A$7)</f>
        <v>4</v>
      </c>
      <c r="C8" s="21">
        <f>COUNTIF('도급관리'!$G$4:$G$7,"성공")</f>
        <v>0</v>
      </c>
      <c r="D8" s="21">
        <f>COUNTIF('도급관리'!$G$4:$G$7,"실패")</f>
        <v>0</v>
      </c>
      <c r="E8" s="21">
        <f>COUNTIF('도급관리'!$G$4:$G$7,"오류")</f>
        <v>0</v>
      </c>
      <c r="F8" s="21">
        <f>COUNTIF('도급관리'!$G$4:$G$7,"보류")</f>
        <v>0</v>
      </c>
      <c r="G8" s="21">
        <f>COUNTIF('도급관리'!$G$4:$G$7,"확인 불가")</f>
        <v>0</v>
      </c>
      <c r="H8" s="21">
        <f>COUNTIF('도급관리'!$G$4:$G$7,"문의")</f>
        <v>0</v>
      </c>
      <c r="I8" s="21">
        <f>COUNTBLANK('도급관리'!$G$4:$G$7)</f>
        <v>4</v>
      </c>
      <c r="J8" s="22">
        <f>IF(B8=0,0,(B8-I8)/B8)</f>
        <v>0</v>
      </c>
    </row>
    <row r="9" ht="24" customHeight="1">
      <c r="A9" s="23" t="inlineStr">
        <is>
          <t>합계</t>
        </is>
      </c>
      <c r="B9" s="24">
        <f>SUM(B5:B8)</f>
        <v>19</v>
      </c>
      <c r="C9" s="24">
        <f>SUM(C5:C8)</f>
        <v>0</v>
      </c>
      <c r="D9" s="24">
        <f>SUM(D5:D8)</f>
        <v>0</v>
      </c>
      <c r="E9" s="24">
        <f>SUM(E5:E8)</f>
        <v>0</v>
      </c>
      <c r="F9" s="24">
        <f>SUM(F5:F8)</f>
        <v>0</v>
      </c>
      <c r="G9" s="24">
        <f>SUM(G5:G8)</f>
        <v>0</v>
      </c>
      <c r="H9" s="24">
        <f>SUM(H5:H8)</f>
        <v>0</v>
      </c>
      <c r="I9" s="24">
        <f>SUM(I5:I8)</f>
        <v>19</v>
      </c>
      <c r="J9" s="25">
        <f>IF(B9=0,0,(B9-I9)/B9)</f>
        <v>0</v>
      </c>
    </row>
  </sheetData>
  <mergeCells count="2">
    <mergeCell ref="A1:J1"/>
    <mergeCell ref="A2:J2"/>
  </mergeCells>
  <conditionalFormatting sqref="J5:J9">
    <cfRule type="dataBar" priority="1">
      <dataBar showValue="1">
        <cfvo type="num" val="0"/>
        <cfvo type="num" val="1"/>
        <color rgb="0063BE7B"/>
      </dataBar>
    </cfRule>
  </conditionalFormatting>
  <conditionalFormatting sqref="D5:D9">
    <cfRule type="cellIs" priority="2" operator="greaterThan" dxfId="0">
      <formula>0</formula>
    </cfRule>
  </conditionalFormatting>
  <conditionalFormatting sqref="E5:E9">
    <cfRule type="cellIs" priority="3" operator="greaterThan" dxfId="0">
      <formula>0</formula>
    </cfRule>
  </conditionalFormatting>
  <conditionalFormatting sqref="H5:H9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경영방침</t>
        </is>
      </c>
    </row>
    <row r="2" ht="24" customHeight="1">
      <c r="A2" s="26" t="inlineStr">
        <is>
          <t>🗂 새 탭에서 시작하세요.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박안전</t>
        </is>
      </c>
      <c r="C4" s="3" t="inlineStr">
        <is>
          <t>안전보건관리체계 &gt; 경영방침</t>
        </is>
      </c>
      <c r="D4" s="17" t="inlineStr">
        <is>
          <t>화면과 탭</t>
        </is>
      </c>
      <c r="E4" s="3" t="inlineStr">
        <is>
          <t>[경영방침] · [이행 점검] · [게시 현황] 탭을 누른다</t>
        </is>
      </c>
      <c r="F4" s="3" t="inlineStr">
        <is>
          <t>세 탭이 뜨고 방침 목록에 버전(현행 · 이력)이 보인다</t>
        </is>
      </c>
      <c r="G4" s="29" t="n"/>
      <c r="H4" s="7" t="n"/>
      <c r="I4" s="7" t="n"/>
    </row>
    <row r="5" ht="36" customHeight="1">
      <c r="A5" s="28" t="n">
        <v>2</v>
      </c>
      <c r="B5" s="30" t="inlineStr">
        <is>
          <t>박안전</t>
        </is>
      </c>
      <c r="C5" s="30" t="inlineStr">
        <is>
          <t>안전보건관리체계 &gt; 경영방침</t>
        </is>
      </c>
      <c r="D5" s="17" t="inlineStr">
        <is>
          <t>새 방침 등록</t>
        </is>
      </c>
      <c r="E5" s="3" t="inlineStr">
        <is>
          <t>[+ 등록] → 빈 칸으로 진행 → 채워서 등록</t>
        </is>
      </c>
      <c r="F5" s="3" t="inlineStr">
        <is>
          <t>빈 칸이면 무엇을 채울지 알려 주고, 등록하면 새 버전이 생긴다</t>
        </is>
      </c>
      <c r="G5" s="29" t="n"/>
      <c r="H5" s="7" t="n"/>
      <c r="I5" s="7" t="n"/>
    </row>
    <row r="6" ht="51" customHeight="1">
      <c r="A6" s="28" t="n">
        <v>3</v>
      </c>
      <c r="B6" s="30" t="inlineStr">
        <is>
          <t>박안전</t>
        </is>
      </c>
      <c r="C6" s="30" t="inlineStr">
        <is>
          <t>안전보건관리체계 &gt; 경영방침</t>
        </is>
      </c>
      <c r="D6" s="17" t="inlineStr">
        <is>
          <t>상신 → 결재 결과 → 현행본</t>
        </is>
      </c>
      <c r="E6" s="3" t="inlineStr">
        <is>
          <t>[온나라 결재 상신] → 결재선 지정 → 상신 → «결재 결과 회신 등록»으로 검토 승인 → 결재 완료</t>
        </is>
      </c>
      <c r="F6" s="3" t="inlineStr">
        <is>
          <t>상신 전에 결재선 창이 뜬다. 결재 완료되면 그 버전이 현행본이 된다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박안전</t>
        </is>
      </c>
      <c r="C7" s="30" t="inlineStr">
        <is>
          <t>안전보건관리체계 &gt; 경영방침</t>
        </is>
      </c>
      <c r="D7" s="17" t="inlineStr">
        <is>
          <t>게시 현황 저장 규칙</t>
        </is>
      </c>
      <c r="E7" s="3" t="inlineStr">
        <is>
          <t>[게시 현황] → 한 부서를 «해당없음» 사유 없이 저장 → «게시»를 사진·위치 없이 저장 → 채워서 저장</t>
        </is>
      </c>
      <c r="F7" s="3" t="inlineStr">
        <is>
          <t>사유 없는 해당없음, 증빙·위치 없는 게시는 저장되지 않는다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조직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5</v>
      </c>
      <c r="B4" s="3" t="inlineStr">
        <is>
          <t>박안전</t>
        </is>
      </c>
      <c r="C4" s="3" t="inlineStr">
        <is>
          <t>안전보건관리체계 &gt; 조직</t>
        </is>
      </c>
      <c r="D4" s="17" t="inlineStr">
        <is>
          <t>화면 열기</t>
        </is>
      </c>
      <c r="E4" s="3" t="inlineStr">
        <is>
          <t>메뉴로 들어간다</t>
        </is>
      </c>
      <c r="F4" s="3" t="inlineStr">
        <is>
          <t>조직도 · 선임 현황 · 배치인원 점검 · 공사별 안전관리자 · 수행평가가 뜬다</t>
        </is>
      </c>
      <c r="G4" s="29" t="n"/>
      <c r="H4" s="7" t="n"/>
      <c r="I4" s="7" t="n"/>
    </row>
    <row r="5" ht="36" customHeight="1">
      <c r="A5" s="28" t="n">
        <v>6</v>
      </c>
      <c r="B5" s="30" t="inlineStr">
        <is>
          <t>박안전</t>
        </is>
      </c>
      <c r="C5" s="30" t="inlineStr">
        <is>
          <t>안전보건관리체계 &gt; 조직</t>
        </is>
      </c>
      <c r="D5" s="17" t="inlineStr">
        <is>
          <t>선임 등록</t>
        </is>
      </c>
      <c r="E5" s="3" t="inlineStr">
        <is>
          <t>[선임 등록] → 빈 채로 [등록] → 채워서 등록</t>
        </is>
      </c>
      <c r="F5" s="3" t="inlineStr">
        <is>
          <t>빈 채로는 «구분을 고르세요.» 채우면 선임 현황에 추가된다</t>
        </is>
      </c>
      <c r="G5" s="29" t="n"/>
      <c r="H5" s="7" t="n"/>
      <c r="I5" s="7" t="n"/>
    </row>
    <row r="6" ht="36" customHeight="1">
      <c r="A6" s="28" t="n">
        <v>7</v>
      </c>
      <c r="B6" s="30" t="inlineStr">
        <is>
          <t>박안전</t>
        </is>
      </c>
      <c r="C6" s="30" t="inlineStr">
        <is>
          <t>안전보건관리체계 &gt; 조직</t>
        </is>
      </c>
      <c r="D6" s="17" t="inlineStr">
        <is>
          <t>공사 등록·수정</t>
        </is>
      </c>
      <c r="E6" s="3" t="inlineStr">
        <is>
          <t>[+ 공사 직접 등록] → 빈 채로 [저장] → 채워서 저장 → 그 줄 [수정]</t>
        </is>
      </c>
      <c r="F6" s="3" t="inlineStr">
        <is>
          <t>빈 채로는 «공사명을 입력하세요.» 저장·수정이 반영된다</t>
        </is>
      </c>
      <c r="G6" s="29" t="n"/>
      <c r="H6" s="7" t="n"/>
      <c r="I6" s="7" t="n"/>
    </row>
    <row r="7" ht="36" customHeight="1">
      <c r="A7" s="28" t="n">
        <v>8</v>
      </c>
      <c r="B7" s="30" t="inlineStr">
        <is>
          <t>박안전</t>
        </is>
      </c>
      <c r="C7" s="30" t="inlineStr">
        <is>
          <t>안전보건관리체계 &gt; 조직</t>
        </is>
      </c>
      <c r="D7" s="17" t="inlineStr">
        <is>
          <t>수행평가·후속조치</t>
        </is>
      </c>
      <c r="E7" s="3" t="inlineStr">
        <is>
          <t>[수행평가 작성] → [임시저장] → 다시 열어 [등록] → [후속조치 등록]</t>
        </is>
      </c>
      <c r="F7" s="3" t="inlineStr">
        <is>
          <t>임시저장한 값이 남아 있고 «등록되었습니다 — 확정 전까지 수정 가능»</t>
        </is>
      </c>
      <c r="G7" s="29" t="n"/>
      <c r="H7" s="7" t="n"/>
      <c r="I7" s="7" t="n"/>
    </row>
    <row r="8" ht="34" customHeight="1">
      <c r="A8" s="28" t="n">
        <v>9</v>
      </c>
      <c r="B8" s="3" t="inlineStr">
        <is>
          <t>김담양</t>
        </is>
      </c>
      <c r="C8" s="30" t="inlineStr">
        <is>
          <t>안전보건관리체계 &gt; 조직</t>
        </is>
      </c>
      <c r="D8" s="17" t="inlineStr">
        <is>
          <t>군수는 보기만</t>
        </is>
      </c>
      <c r="E8" s="3" t="inlineStr">
        <is>
          <t>조직 화면을 본다</t>
        </is>
      </c>
      <c r="F8" s="3" t="inlineStr">
        <is>
          <t>등록·수정 버튼이 없다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이행점검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10</v>
      </c>
      <c r="B4" s="3" t="inlineStr">
        <is>
          <t>박안전</t>
        </is>
      </c>
      <c r="C4" s="3" t="inlineStr">
        <is>
          <t>안전보건관리체계 &gt; 이행점검</t>
        </is>
      </c>
      <c r="D4" s="17" t="inlineStr">
        <is>
          <t>화면과 탭</t>
        </is>
      </c>
      <c r="E4" s="3" t="inlineStr">
        <is>
          <t>[중대산업재해 이행점검] ↔ [중대시민재해 이행점검]</t>
        </is>
      </c>
      <c r="F4" s="3" t="inlineStr">
        <is>
          <t>부서별 이행 현황 표가 뜨고 «N / 39개 등록» 같은 명단 안내가 있다</t>
        </is>
      </c>
      <c r="G4" s="29" t="n"/>
      <c r="H4" s="7" t="n"/>
      <c r="I4" s="7" t="n"/>
    </row>
    <row r="5" ht="36" customHeight="1">
      <c r="A5" s="28" t="n">
        <v>11</v>
      </c>
      <c r="B5" s="30" t="inlineStr">
        <is>
          <t>박안전</t>
        </is>
      </c>
      <c r="C5" s="30" t="inlineStr">
        <is>
          <t>안전보건관리체계 &gt; 이행점검</t>
        </is>
      </c>
      <c r="D5" s="17" t="inlineStr">
        <is>
          <t>부서 확인 등록 규칙</t>
        </is>
      </c>
      <c r="E5" s="3" t="inlineStr">
        <is>
          <t>한 부서 [확인 등록] → «해당없음» 사유 없이 → «이행» 증빙·위치 없이 → 채워서 저장</t>
        </is>
      </c>
      <c r="F5" s="3" t="inlineStr">
        <is>
          <t>사유 없는 해당없음과 증빙 없는 이행은 저장되지 않고, 채우면 표에 반영된다</t>
        </is>
      </c>
      <c r="G5" s="29" t="n"/>
      <c r="H5" s="7" t="n"/>
      <c r="I5" s="7" t="n"/>
    </row>
    <row r="6" ht="34" customHeight="1">
      <c r="A6" s="28" t="n">
        <v>12</v>
      </c>
      <c r="B6" s="30" t="inlineStr">
        <is>
          <t>박안전</t>
        </is>
      </c>
      <c r="C6" s="30" t="inlineStr">
        <is>
          <t>안전보건관리체계 &gt; 이행점검</t>
        </is>
      </c>
      <c r="D6" s="17" t="inlineStr">
        <is>
          <t>독촉</t>
        </is>
      </c>
      <c r="E6" s="3" t="inlineStr">
        <is>
          <t>미이행 부서의 [독촉]</t>
        </is>
      </c>
      <c r="F6" s="3" t="inlineStr">
        <is>
          <t>«…독촉 알림을 발송했습니다»</t>
        </is>
      </c>
      <c r="G6" s="29" t="n"/>
      <c r="H6" s="7" t="n"/>
      <c r="I6" s="7" t="n"/>
    </row>
    <row r="7" ht="36" customHeight="1">
      <c r="A7" s="28" t="n">
        <v>13</v>
      </c>
      <c r="B7" s="30" t="inlineStr">
        <is>
          <t>박안전</t>
        </is>
      </c>
      <c r="C7" s="30" t="inlineStr">
        <is>
          <t>안전보건관리체계 &gt; 이행점검</t>
        </is>
      </c>
      <c r="D7" s="17" t="inlineStr">
        <is>
          <t>반기 점검표</t>
        </is>
      </c>
      <c r="E7" s="3" t="inlineStr">
        <is>
          <t>[점검표 작성] → [임시저장] → 다시 열어 [등록]</t>
        </is>
      </c>
      <c r="F7" s="3" t="inlineStr">
        <is>
          <t>임시저장한 값이 남아 있고 «등록되었습니다…»</t>
        </is>
      </c>
      <c r="G7" s="29" t="n"/>
      <c r="H7" s="7" t="n"/>
      <c r="I7" s="7" t="n"/>
    </row>
    <row r="8" ht="36" customHeight="1">
      <c r="A8" s="28" t="n">
        <v>14</v>
      </c>
      <c r="B8" s="30" t="inlineStr">
        <is>
          <t>박안전</t>
        </is>
      </c>
      <c r="C8" s="30" t="inlineStr">
        <is>
          <t>안전보건관리체계 &gt; 이행점검</t>
        </is>
      </c>
      <c r="D8" s="17" t="inlineStr">
        <is>
          <t>반기 마감 상신</t>
        </is>
      </c>
      <c r="E8" s="3" t="inlineStr">
        <is>
          <t>반기를 바꾼다 → [반기 마감 · 온나라 상신] → 결재선을 비우고 [상신] → 채워서 상신</t>
        </is>
      </c>
      <c r="F8" s="3" t="inlineStr">
        <is>
          <t>결재선이 비면 막힌다. 제목의 반기가 고른 반기와 같다</t>
        </is>
      </c>
      <c r="G8" s="29" t="n"/>
      <c r="H8" s="7" t="n"/>
      <c r="I8" s="7" t="n"/>
    </row>
    <row r="9" ht="36" customHeight="1">
      <c r="A9" s="28" t="n">
        <v>15</v>
      </c>
      <c r="B9" s="30" t="inlineStr">
        <is>
          <t>박안전</t>
        </is>
      </c>
      <c r="C9" s="30" t="inlineStr">
        <is>
          <t>안전보건관리체계 &gt; 이행점검</t>
        </is>
      </c>
      <c r="D9" s="17" t="inlineStr">
        <is>
          <t>관계 법령 목록 안내</t>
        </is>
      </c>
      <c r="E9" s="3" t="inlineStr">
        <is>
          <t>[관계 법령 목록이란]</t>
        </is>
      </c>
      <c r="F9" s="3" t="inlineStr">
        <is>
          <t>목록이 아직 없다는 것과 무엇을 정해야 하는지 알려 준다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안전보건관리체계 — 도급관리</t>
        </is>
      </c>
    </row>
    <row r="2" ht="24" customHeight="1">
      <c r="A2" s="26" t="inlineStr">
        <is>
          <t>🗂 어느 탭에서 해도 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4" customHeight="1">
      <c r="A4" s="28" t="n">
        <v>16</v>
      </c>
      <c r="B4" s="3" t="inlineStr">
        <is>
          <t>박안전</t>
        </is>
      </c>
      <c r="C4" s="3" t="inlineStr">
        <is>
          <t>안전보건관리체계 &gt; 도급관리</t>
        </is>
      </c>
      <c r="D4" s="17" t="inlineStr">
        <is>
          <t>화면 열기</t>
        </is>
      </c>
      <c r="E4" s="3" t="inlineStr">
        <is>
          <t>메뉴로 들어간다</t>
        </is>
      </c>
      <c r="F4" s="3" t="inlineStr">
        <is>
          <t>사업 목록과 수급인 평가가 뜬다</t>
        </is>
      </c>
      <c r="G4" s="29" t="n"/>
      <c r="H4" s="7" t="n"/>
      <c r="I4" s="7" t="n"/>
    </row>
    <row r="5" ht="36" customHeight="1">
      <c r="A5" s="28" t="n">
        <v>17</v>
      </c>
      <c r="B5" s="30" t="inlineStr">
        <is>
          <t>박안전</t>
        </is>
      </c>
      <c r="C5" s="30" t="inlineStr">
        <is>
          <t>안전보건관리체계 &gt; 도급관리</t>
        </is>
      </c>
      <c r="D5" s="17" t="inlineStr">
        <is>
          <t>사업 등록</t>
        </is>
      </c>
      <c r="E5" s="3" t="inlineStr">
        <is>
          <t>[+ 사업 등록] → 빈 채로 [등록] → 채워서 등록</t>
        </is>
      </c>
      <c r="F5" s="3" t="inlineStr">
        <is>
          <t>빈 채로는 «사업명을 입력하세요.» 채우면 목록에 추가된다</t>
        </is>
      </c>
      <c r="G5" s="29" t="n"/>
      <c r="H5" s="7" t="n"/>
      <c r="I5" s="7" t="n"/>
    </row>
    <row r="6" ht="36" customHeight="1">
      <c r="A6" s="28" t="n">
        <v>18</v>
      </c>
      <c r="B6" s="30" t="inlineStr">
        <is>
          <t>박안전</t>
        </is>
      </c>
      <c r="C6" s="30" t="inlineStr">
        <is>
          <t>안전보건관리체계 &gt; 도급관리</t>
        </is>
      </c>
      <c r="D6" s="17" t="inlineStr">
        <is>
          <t>점검표·서약서·평가</t>
        </is>
      </c>
      <c r="E6" s="3" t="inlineStr">
        <is>
          <t>[점검표 작성] 등록 → 서약서 [첨부] → [업로드] → [평가 작성] 등록</t>
        </is>
      </c>
      <c r="F6" s="3" t="inlineStr">
        <is>
          <t>각각 등록되고 그 줄에 반영된다</t>
        </is>
      </c>
      <c r="G6" s="29" t="n"/>
      <c r="H6" s="7" t="n"/>
      <c r="I6" s="7" t="n"/>
    </row>
    <row r="7" ht="34" customHeight="1">
      <c r="A7" s="28" t="n">
        <v>19</v>
      </c>
      <c r="B7" s="3" t="inlineStr">
        <is>
          <t>김담양</t>
        </is>
      </c>
      <c r="C7" s="30" t="inlineStr">
        <is>
          <t>안전보건관리체계 &gt; 도급관리</t>
        </is>
      </c>
      <c r="D7" s="17" t="inlineStr">
        <is>
          <t>군수는 보기만</t>
        </is>
      </c>
      <c r="E7" s="3" t="inlineStr">
        <is>
          <t>도급관리 화면을 본다</t>
        </is>
      </c>
      <c r="F7" s="3" t="inlineStr">
        <is>
          <t>등록·작성 버튼이 없다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안전보건관리체계</t>
        </is>
      </c>
    </row>
    <row r="3">
      <c r="A3" t="inlineStr">
        <is>
          <t>담당자</t>
        </is>
      </c>
      <c r="B3" t="inlineStr">
        <is>
          <t>박진우</t>
        </is>
      </c>
    </row>
    <row r="4">
      <c r="A4" t="inlineStr">
        <is>
          <t>파일 코드</t>
        </is>
      </c>
      <c r="B4" t="inlineStr">
        <is>
          <t>SB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