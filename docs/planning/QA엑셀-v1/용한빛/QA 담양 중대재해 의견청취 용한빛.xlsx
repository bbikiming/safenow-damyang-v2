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의견청취·건의함" sheetId="3" state="visible" r:id="rId3"/>
    <sheet xmlns:r="http://schemas.openxmlformats.org/officeDocument/2006/relationships" name="산업안전보건위원회" sheetId="4" state="visible" r:id="rId4"/>
    <sheet xmlns:r="http://schemas.openxmlformats.org/officeDocument/2006/relationships" name="협의체·점검표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'의견청취·건의함'!$A$3:$I$8</definedName>
    <definedName name="_xlnm.Print_Titles" localSheetId="2">'의견청취·건의함'!$3:$3</definedName>
    <definedName name="_xlnm._FilterDatabase" localSheetId="3" hidden="1">'산업안전보건위원회'!$A$3:$I$7</definedName>
    <definedName name="_xlnm.Print_Titles" localSheetId="3">'산업안전보건위원회'!$3:$3</definedName>
    <definedName name="_xlnm._FilterDatabase" localSheetId="4" hidden="1">'협의체·점검표'!$A$3:$I$9</definedName>
    <definedName name="_xlnm.Print_Titles" localSheetId="4">'협의체·점검표'!$3:$3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의견청취 · 용한빛</t>
        </is>
      </c>
    </row>
    <row r="3" ht="22" customHeight="1">
      <c r="A3" s="2" t="inlineStr">
        <is>
          <t>메뉴</t>
        </is>
      </c>
      <c r="B3" s="3" t="inlineStr">
        <is>
          <t>의견청취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용한빛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QA박안전4 (재난안전과 담당자) · QA하정수4 (내 부서 담양읍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의견청취·건의함 · 산업안전보건위원회 · 협의체·점검표를 봅니다. 대부분 QA박안전4 계정으로 합니다. 이 메뉴는 아직 부서 구분이 없어 QA하정수4 계정에도 모든 자료와 버튼이 보이는 것이 정상입니다.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15줄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의견청취·건의함 → 산업안전보건위원회 → 협의체·점검표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QA박안전4(재난안전과), 시크릿 창(Ctrl + Shift + N · 맥 Cmd + Shift + N)에는 QA하정수4(담당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QA박안전4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QA하정수4</t>
        </is>
      </c>
      <c r="B40" s="3" t="inlineStr">
        <is>
          <t>담당 공무원 (내 부서: 담양읍)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«용한빛_집합교육».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QA박안전4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의견청취 · 용한빛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의견청취·건의함</t>
        </is>
      </c>
      <c r="B5" s="21">
        <f>COUNTA('의견청취·건의함'!$A$4:$A$8)</f>
        <v>5</v>
      </c>
      <c r="C5" s="21">
        <f>COUNTIF('의견청취·건의함'!$G$4:$G$8,"성공")</f>
        <v>0</v>
      </c>
      <c r="D5" s="21">
        <f>COUNTIF('의견청취·건의함'!$G$4:$G$8,"실패")</f>
        <v>0</v>
      </c>
      <c r="E5" s="21">
        <f>COUNTIF('의견청취·건의함'!$G$4:$G$8,"오류")</f>
        <v>0</v>
      </c>
      <c r="F5" s="21">
        <f>COUNTIF('의견청취·건의함'!$G$4:$G$8,"보류")</f>
        <v>0</v>
      </c>
      <c r="G5" s="21">
        <f>COUNTIF('의견청취·건의함'!$G$4:$G$8,"확인 불가")</f>
        <v>0</v>
      </c>
      <c r="H5" s="21">
        <f>COUNTIF('의견청취·건의함'!$G$4:$G$8,"문의")</f>
        <v>0</v>
      </c>
      <c r="I5" s="21">
        <f>COUNTBLANK('의견청취·건의함'!$G$4:$G$8)</f>
        <v>5</v>
      </c>
      <c r="J5" s="22">
        <f>IF(B5=0,0,(B5-I5)/B5)</f>
        <v>0</v>
      </c>
    </row>
    <row r="6" ht="22" customHeight="1">
      <c r="A6" s="20" t="inlineStr">
        <is>
          <t>산업안전보건위원회</t>
        </is>
      </c>
      <c r="B6" s="21">
        <f>COUNTA('산업안전보건위원회'!$A$4:$A$7)</f>
        <v>4</v>
      </c>
      <c r="C6" s="21">
        <f>COUNTIF('산업안전보건위원회'!$G$4:$G$7,"성공")</f>
        <v>0</v>
      </c>
      <c r="D6" s="21">
        <f>COUNTIF('산업안전보건위원회'!$G$4:$G$7,"실패")</f>
        <v>0</v>
      </c>
      <c r="E6" s="21">
        <f>COUNTIF('산업안전보건위원회'!$G$4:$G$7,"오류")</f>
        <v>0</v>
      </c>
      <c r="F6" s="21">
        <f>COUNTIF('산업안전보건위원회'!$G$4:$G$7,"보류")</f>
        <v>0</v>
      </c>
      <c r="G6" s="21">
        <f>COUNTIF('산업안전보건위원회'!$G$4:$G$7,"확인 불가")</f>
        <v>0</v>
      </c>
      <c r="H6" s="21">
        <f>COUNTIF('산업안전보건위원회'!$G$4:$G$7,"문의")</f>
        <v>0</v>
      </c>
      <c r="I6" s="21">
        <f>COUNTBLANK('산업안전보건위원회'!$G$4:$G$7)</f>
        <v>4</v>
      </c>
      <c r="J6" s="22">
        <f>IF(B6=0,0,(B6-I6)/B6)</f>
        <v>0</v>
      </c>
    </row>
    <row r="7" ht="22" customHeight="1">
      <c r="A7" s="20" t="inlineStr">
        <is>
          <t>협의체·점검표</t>
        </is>
      </c>
      <c r="B7" s="21">
        <f>COUNTA('협의체·점검표'!$A$4:$A$9)</f>
        <v>6</v>
      </c>
      <c r="C7" s="21">
        <f>COUNTIF('협의체·점검표'!$G$4:$G$9,"성공")</f>
        <v>0</v>
      </c>
      <c r="D7" s="21">
        <f>COUNTIF('협의체·점검표'!$G$4:$G$9,"실패")</f>
        <v>0</v>
      </c>
      <c r="E7" s="21">
        <f>COUNTIF('협의체·점검표'!$G$4:$G$9,"오류")</f>
        <v>0</v>
      </c>
      <c r="F7" s="21">
        <f>COUNTIF('협의체·점검표'!$G$4:$G$9,"보류")</f>
        <v>0</v>
      </c>
      <c r="G7" s="21">
        <f>COUNTIF('협의체·점검표'!$G$4:$G$9,"확인 불가")</f>
        <v>0</v>
      </c>
      <c r="H7" s="21">
        <f>COUNTIF('협의체·점검표'!$G$4:$G$9,"문의")</f>
        <v>0</v>
      </c>
      <c r="I7" s="21">
        <f>COUNTBLANK('협의체·점검표'!$G$4:$G$9)</f>
        <v>6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15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15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의견청취·건의함</t>
        </is>
      </c>
    </row>
    <row r="2" ht="24" customHeight="1">
      <c r="A2" s="26" t="inlineStr">
        <is>
          <t>🗂 QA박안전4 창에서 하고, 3번만 QA하정수4 창을 함께 씁니다. 의견 제목 앞에 내 이름을 붙이고, 처리는 내가 쓴 의견에만 합니다. 다른 사람도 같은 시간에 의견을 올리므로 숫자를 비교하기 전에 새로고침합니다.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1</v>
      </c>
      <c r="B4" s="3" t="inlineStr">
        <is>
          <t>QA박안전4(재난안전과)</t>
        </is>
      </c>
      <c r="C4" s="3" t="inlineStr">
        <is>
          <t>의견청취 &gt; 의견청취·건의함</t>
        </is>
      </c>
      <c r="D4" s="17" t="inlineStr">
        <is>
          <t>목록 · 상태 칩 · 검색 · 쪽 넘기기</t>
        </is>
      </c>
      <c r="E4" s="3" t="inlineStr">
        <is>
          <t>① 새로고침한다
② 상태 칩(전체 · 접수대기 · 점검중 · 개선조치중 · 완료)을 하나씩 누른다
③ 검색창에 제목 일부를 넣고 Enter
④ 아래 쪽 번호를 넘긴다</t>
        </is>
      </c>
      <c r="F4" s="3" t="inlineStr">
        <is>
          <t>새로고침 후 칩을 누르면 그 상태만 남고, 칩 숫자와 목록 아래 «총 N건»이 같다. 검색 · 쪽 넘기기가 된다</t>
        </is>
      </c>
      <c r="G4" s="29" t="n"/>
      <c r="H4" s="7" t="n"/>
      <c r="I4" s="7" t="n"/>
    </row>
    <row r="5" ht="81" customHeight="1">
      <c r="A5" s="28" t="n">
        <v>2</v>
      </c>
      <c r="B5" s="30" t="inlineStr">
        <is>
          <t>QA박안전4(재난안전과)</t>
        </is>
      </c>
      <c r="C5" s="30" t="inlineStr">
        <is>
          <t>의견청취 &gt; 의견청취·건의함</t>
        </is>
      </c>
      <c r="D5" s="17" t="inlineStr">
        <is>
          <t>의견 등록</t>
        </is>
      </c>
      <c r="E5" s="3" t="inlineStr">
        <is>
          <t>① [+ 의견 등록]
② 빈 칸으로 [등록하기]
③ 분류를 고르고 제목 «용한빛_계단 난간 흔들림», 상세 내용을 채워 [등록하기]
④ 검색창에 «용한빛_계단»을 넣는다</t>
        </is>
      </c>
      <c r="F5" s="3" t="inlineStr">
        <is>
          <t>빈 칸이면 «분류를 선택하세요»처럼 무엇을 채울지 알려 준다. 등록하면 «의견이 등록되었습니다» 후 목록에 내 의견이 «접수대기»로 보인다</t>
        </is>
      </c>
      <c r="G5" s="29" t="n"/>
      <c r="H5" s="7" t="n"/>
      <c r="I5" s="7" t="n"/>
    </row>
    <row r="6" ht="66" customHeight="1">
      <c r="A6" s="28" t="n">
        <v>3</v>
      </c>
      <c r="B6" s="3" t="inlineStr">
        <is>
          <t>QA하정수4(담당 공무원) → QA박안전4(재난안전과)</t>
        </is>
      </c>
      <c r="C6" s="30" t="inlineStr">
        <is>
          <t>의견청취 &gt; 의견청취·건의함</t>
        </is>
      </c>
      <c r="D6" s="17" t="inlineStr">
        <is>
          <t>담당 공무원의 의견 등록</t>
        </is>
      </c>
      <c r="E6" s="3" t="inlineStr">
        <is>
          <t>① QA하정수4 창에서 [+ 의견 등록] → 제목 «용한빛_하정수 의견»으로 등록
② QA박안전4 창에서 새로고침 → 검색창에 «용한빛_하정수»를 넣는다</t>
        </is>
      </c>
      <c r="F6" s="3" t="inlineStr">
        <is>
          <t>QA하정수4 계정에서도 등록된다(다른 부서 의견도 함께 보이는 것은 이 메뉴에 부서 구분이 없어서라 정상). QA박안전4 창에서 «용한빛_하정수 의견» 줄이 «접수대기»로 보인다</t>
        </is>
      </c>
      <c r="G6" s="29" t="n"/>
      <c r="H6" s="7" t="n"/>
      <c r="I6" s="7" t="n"/>
    </row>
    <row r="7" ht="36" customHeight="1">
      <c r="A7" s="28" t="n">
        <v>4</v>
      </c>
      <c r="B7" s="3" t="inlineStr">
        <is>
          <t>QA박안전4(재난안전과)</t>
        </is>
      </c>
      <c r="C7" s="30" t="inlineStr">
        <is>
          <t>의견청취 &gt; 의견청취·건의함</t>
        </is>
      </c>
      <c r="D7" s="17" t="inlineStr">
        <is>
          <t>상세 보기</t>
        </is>
      </c>
      <c r="E7" s="3" t="inlineStr">
        <is>
          <t>① 2번에서 쓴 내 의견 줄을 누른다
② 목록 줄과 상세 내용을 비교한다</t>
        </is>
      </c>
      <c r="F7" s="3" t="inlineStr">
        <is>
          <t>상세가 열리고, 제목 · 분류 · 상태가 목록 줄과 같다</t>
        </is>
      </c>
      <c r="G7" s="29" t="n"/>
      <c r="H7" s="7" t="n"/>
      <c r="I7" s="7" t="n"/>
    </row>
    <row r="8" ht="96" customHeight="1">
      <c r="A8" s="28" t="n">
        <v>5</v>
      </c>
      <c r="B8" s="30" t="inlineStr">
        <is>
          <t>QA박안전4(재난안전과)</t>
        </is>
      </c>
      <c r="C8" s="30" t="inlineStr">
        <is>
          <t>의견청취 &gt; 의견청취·건의함</t>
        </is>
      </c>
      <c r="D8" s="17" t="inlineStr">
        <is>
          <t>처리 · 완료</t>
        </is>
      </c>
      <c r="E8" s="3" t="inlineStr">
        <is>
          <t>① 4번에서 연 내 의견 상세에서 조치 방법을 고르기 전 [저장]을 본다
② «현장점검 실시»를 고르고 [저장]
③ [완료 처리] → 처리 결과를 적고 [완료 처리]
④ 목록에서 «완료» 칩을 누른다</t>
        </is>
      </c>
      <c r="F8" s="3" t="inlineStr">
        <is>
          <t>조치 방법을 고르기 전에는 [저장]이 흐리게 눌리지 않는다. 상태가 «점검중» → «완료»로 바뀌고 처리 이력에 차례로 남는다. «완료» 칩 목록에 내 의견이 있다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산업안전보건위원회</t>
        </is>
      </c>
    </row>
    <row r="2" ht="24" customHeight="1">
      <c r="A2" s="26" t="inlineStr">
        <is>
          <t>🗂 QA박안전4 창에서 합니다. 위원 명단은 모두가 함께 쓰는 하나뿐이라, 위원은 내 QA하정수4 계정의 사람을 넣어 시험하고 끝나면 지웁니다. 줄은 위치가 아니라 이름으로 찾습니다 — 다른 사람도 같은 시간에 줄을 넣습니다.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6</v>
      </c>
      <c r="B4" s="3" t="inlineStr">
        <is>
          <t>QA박안전4(재난안전과)</t>
        </is>
      </c>
      <c r="C4" s="3" t="inlineStr">
        <is>
          <t>의견청취 &gt; 산업안전보건위원회</t>
        </is>
      </c>
      <c r="D4" s="17" t="inlineStr">
        <is>
          <t>화면과 탭</t>
        </is>
      </c>
      <c r="E4" s="3" t="inlineStr">
        <is>
          <t>[위원 구성] · [안건 부서이행] · [회의록] 탭을 차례로 누른다</t>
        </is>
      </c>
      <c r="F4" s="3" t="inlineStr">
        <is>
          <t>세 탭이 바뀌어 뜨고, 위에 올해 회의 개최 · 안건 이행 · 이행 지연 숫자가 보인다</t>
        </is>
      </c>
      <c r="G4" s="29" t="n"/>
      <c r="H4" s="7" t="n"/>
      <c r="I4" s="7" t="n"/>
    </row>
    <row r="5" ht="111" customHeight="1">
      <c r="A5" s="28" t="n">
        <v>7</v>
      </c>
      <c r="B5" s="30" t="inlineStr">
        <is>
          <t>QA박안전4(재난안전과)</t>
        </is>
      </c>
      <c r="C5" s="30" t="inlineStr">
        <is>
          <t>의견청취 &gt; 산업안전보건위원회</t>
        </is>
      </c>
      <c r="D5" s="17" t="inlineStr">
        <is>
          <t>위원 추가 · 수정 · 삭제</t>
        </is>
      </c>
      <c r="E5" s="3" t="inlineStr">
        <is>
          <t>① [위원 구성]의 [+ 위원 추가]
② 안 고르고 [저장]
③ [조직도]에서 QA하정수4 이름을 찾아 골라 [저장]
④ 이름이 내 QA하정수4 계정인 줄을 찾아 [수정] → 구분을 바꿔 [저장]
⑤ 같은 줄의 [삭제] → 확인</t>
        </is>
      </c>
      <c r="F5" s="3" t="inlineStr">
        <is>
          <t>안 고르면 «조직도에서 위원을 선택하세요». 저장 · 수정이 목록에 반영되고, 삭제 전에 «이 위원을 삭제하시겠습니까?»를 묻는다(바로 지워지면 실패). 노사 위원 수가 다르다는 참고 안내는 떠도 정상이다</t>
        </is>
      </c>
      <c r="G5" s="29" t="n"/>
      <c r="H5" s="7" t="n"/>
      <c r="I5" s="7" t="n"/>
    </row>
    <row r="6" ht="96" customHeight="1">
      <c r="A6" s="28" t="n">
        <v>8</v>
      </c>
      <c r="B6" s="30" t="inlineStr">
        <is>
          <t>QA박안전4(재난안전과)</t>
        </is>
      </c>
      <c r="C6" s="30" t="inlineStr">
        <is>
          <t>의견청취 &gt; 산업안전보건위원회</t>
        </is>
      </c>
      <c r="D6" s="17" t="inlineStr">
        <is>
          <t>안건 부서이행 등록 · 삭제</t>
        </is>
      </c>
      <c r="E6" s="3" t="inlineStr">
        <is>
          <t>① [안건 부서이행]의 [+ 안건 추가]
② 빈 채로 [저장]
③ 의결 안건 «용한빛_안건»만 적고 [저장]
④ 담당부서를 [조직도]에서 QA하정수4 골라 [저장]
⑤ 내 안건 줄의 [삭제] → 확인</t>
        </is>
      </c>
      <c r="F6" s="3" t="inlineStr">
        <is>
          <t>안건이 비면 «의결 안건을 입력하세요», 담당부서가 비면 «조직도에서 담당부서를 선택하세요». 저장하면 담당부서 칸에 내 부서 이름이 있는 줄이 생긴다. 삭제 전에 한 번 묻는다</t>
        </is>
      </c>
      <c r="G6" s="29" t="n"/>
      <c r="H6" s="7" t="n"/>
      <c r="I6" s="7" t="n"/>
    </row>
    <row r="7" ht="111" customHeight="1">
      <c r="A7" s="28" t="n">
        <v>9</v>
      </c>
      <c r="B7" s="30" t="inlineStr">
        <is>
          <t>QA박안전4(재난안전과)</t>
        </is>
      </c>
      <c r="C7" s="30" t="inlineStr">
        <is>
          <t>의견청취 &gt; 산업안전보건위원회</t>
        </is>
      </c>
      <c r="D7" s="17" t="inlineStr">
        <is>
          <t>회의록 작성</t>
        </is>
      </c>
      <c r="E7" s="3" t="inlineStr">
        <is>
          <t>① [회의록]의 [회의록 작성]
② 회차 칸을 지우고 [작성 완료]
③ 회차 «용한빛_수시회의», 참석자는 조직도에서 QA하정수4 누르고, 의결사항 한 줄을 적어 [작성 완료] (안건 부서이행 등록 체크는 비워 둔다)
④ [‹ 목록]</t>
        </is>
      </c>
      <c r="F7" s="3" t="inlineStr">
        <is>
          <t>회차가 비면 «회차를 입력하세요». 작성하면 «회의록이 작성되었습니다» 후 상세가 열리고, 목록에 내 회차가 «작성» 상태로 있다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협의체·점검표</t>
        </is>
      </c>
    </row>
    <row r="2" ht="24" customHeight="1">
      <c r="A2" s="26" t="inlineStr">
        <is>
          <t>🗂 QA박안전4 창에서 합니다. 운영 주기는 서버에 하나라 같은 줄에서 처음 값으로 되돌리고, 위원은 넣었다가 지우고, 점검결과지는 내가 만든 것만 상신합니다.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10</v>
      </c>
      <c r="B4" s="3" t="inlineStr">
        <is>
          <t>QA박안전4(재난안전과)</t>
        </is>
      </c>
      <c r="C4" s="3" t="inlineStr">
        <is>
          <t>의견청취 &gt; 협의체·점검표</t>
        </is>
      </c>
      <c r="D4" s="17" t="inlineStr">
        <is>
          <t>화면과 탭</t>
        </is>
      </c>
      <c r="E4" s="3" t="inlineStr">
        <is>
          <t>[협의체 운영] ↔ [점검표]</t>
        </is>
      </c>
      <c r="F4" s="3" t="inlineStr">
        <is>
          <t>두 탭이 바뀌어 뜨고, 위에 점검결과지 · 미흡 · 결재 대기 숫자가 보인다</t>
        </is>
      </c>
      <c r="G4" s="29" t="n"/>
      <c r="H4" s="7" t="n"/>
      <c r="I4" s="7" t="n"/>
    </row>
    <row r="5" ht="81" customHeight="1">
      <c r="A5" s="28" t="n">
        <v>11</v>
      </c>
      <c r="B5" s="30" t="inlineStr">
        <is>
          <t>QA박안전4(재난안전과)</t>
        </is>
      </c>
      <c r="C5" s="30" t="inlineStr">
        <is>
          <t>의견청취 &gt; 협의체·점검표</t>
        </is>
      </c>
      <c r="D5" s="17" t="inlineStr">
        <is>
          <t>운영 주기 바꾸고 되돌리기</t>
        </is>
      </c>
      <c r="E5" s="3" t="inlineStr">
        <is>
          <t>① 새로고침 후 지금 운영 주기를 메모에 적는다
② [주기 변경] → 다른 값으로 [저장]
③ 곧바로 다시 [주기 변경] → 처음 값으로 [저장]</t>
        </is>
      </c>
      <c r="F5" s="3" t="inlineStr">
        <is>
          <t>저장할 때마다 «운영 주기가 변경되었습니다»가 뜨고 화면 표시가 바뀐다. 끝나면 처음 값으로 돌아와 있다. 처음 값이 다른 사람의 시험 중 값처럼 보이면(예: 수시) 표시만 확인하고 되돌리기는 건너뛴다</t>
        </is>
      </c>
      <c r="G5" s="29" t="n"/>
      <c r="H5" s="7" t="n"/>
      <c r="I5" s="7" t="n"/>
    </row>
    <row r="6" ht="81" customHeight="1">
      <c r="A6" s="28" t="n">
        <v>12</v>
      </c>
      <c r="B6" s="30" t="inlineStr">
        <is>
          <t>QA박안전4(재난안전과)</t>
        </is>
      </c>
      <c r="C6" s="30" t="inlineStr">
        <is>
          <t>의견청취 &gt; 협의체·점검표</t>
        </is>
      </c>
      <c r="D6" s="17" t="inlineStr">
        <is>
          <t>운영 결과 등록 · 수정 · 삭제</t>
        </is>
      </c>
      <c r="E6" s="3" t="inlineStr">
        <is>
          <t>① [+ 운영 결과 등록] → 빈 채로 [저장]
② 회차 «용한빛_회차»와 내용을 적어 [저장]
③ 회차가 «용한빛_회차»인 줄의 [수정] → 상태를 바꿔 [저장]
④ 같은 줄의 [삭제] → 확인</t>
        </is>
      </c>
      <c r="F6" s="3" t="inlineStr">
        <is>
          <t>빈 채로는 «회차를 입력하세요». «협의체 운영 결과가 등록되었습니다» 후 목록에 생기고 수정이 반영된다. 삭제 전에 한 번 묻는다</t>
        </is>
      </c>
      <c r="G6" s="29" t="n"/>
      <c r="H6" s="7" t="n"/>
      <c r="I6" s="7" t="n"/>
    </row>
    <row r="7" ht="66" customHeight="1">
      <c r="A7" s="28" t="n">
        <v>13</v>
      </c>
      <c r="B7" s="30" t="inlineStr">
        <is>
          <t>QA박안전4(재난안전과)</t>
        </is>
      </c>
      <c r="C7" s="30" t="inlineStr">
        <is>
          <t>의견청취 &gt; 협의체·점검표</t>
        </is>
      </c>
      <c r="D7" s="17" t="inlineStr">
        <is>
          <t>협의체 위원 추가 · 삭제</t>
        </is>
      </c>
      <c r="E7" s="3" t="inlineStr">
        <is>
          <t>① [협의체 운영]의 [+ 위원 추가]
② [조직도]에서 QA하정수4 골라 [저장]
③ 이름이 내 QA하정수4 계정인 줄의 [삭제] → 확인</t>
        </is>
      </c>
      <c r="F7" s="3" t="inlineStr">
        <is>
          <t>«위원이 추가되었습니다» 후 목록에 그 줄이 생긴다. 삭제 전에 한 번 묻고, 지우면 사라진다</t>
        </is>
      </c>
      <c r="G7" s="29" t="n"/>
      <c r="H7" s="7" t="n"/>
      <c r="I7" s="7" t="n"/>
    </row>
    <row r="8" ht="96" customHeight="1">
      <c r="A8" s="28" t="n">
        <v>14</v>
      </c>
      <c r="B8" s="30" t="inlineStr">
        <is>
          <t>QA박안전4(재난안전과)</t>
        </is>
      </c>
      <c r="C8" s="30" t="inlineStr">
        <is>
          <t>의견청취 &gt; 협의체·점검표</t>
        </is>
      </c>
      <c r="D8" s="17" t="inlineStr">
        <is>
          <t>점검결과지 만들기</t>
        </is>
      </c>
      <c r="E8" s="3" t="inlineStr">
        <is>
          <t>① [점검표]의 [+ 점검결과지 생성]
② 점검일을 오늘로 두고 문항은 모두 «확인»인 채로 [점검결과지 등록] («미흡»은 개선조치가 함께 생기니 고르지 않는다)
③ 방금 생긴 줄의 [조회]로 열어 번호(CHK-…)를 메모에 적는다</t>
        </is>
      </c>
      <c r="F8" s="3" t="inlineStr">
        <is>
          <t>«점검결과지가 등록되었습니다» 후 결과 «적합» · 온나라 결재 «미상신» 줄이 생긴다. 상세에 [수정]과 [온나라 결재 상신]이 있다</t>
        </is>
      </c>
      <c r="G8" s="29" t="n"/>
      <c r="H8" s="7" t="n"/>
      <c r="I8" s="7" t="n"/>
    </row>
    <row r="9" ht="96" customHeight="1">
      <c r="A9" s="28" t="n">
        <v>15</v>
      </c>
      <c r="B9" s="30" t="inlineStr">
        <is>
          <t>QA박안전4(재난안전과)</t>
        </is>
      </c>
      <c r="C9" s="30" t="inlineStr">
        <is>
          <t>의견청취 &gt; 협의체·점검표</t>
        </is>
      </c>
      <c r="D9" s="17" t="inlineStr">
        <is>
          <t>점검결과지 상신</t>
        </is>
      </c>
      <c r="E9" s="3" t="inlineStr">
        <is>
          <t>① 14번에서 만든 내 점검결과지 상세의 [온나라 결재 상신]
② 결재선 검토 · 결재에 다른 두 사람의 박안전 계정을 고른다
③ [상신] → [확인]
④ [이력]</t>
        </is>
      </c>
      <c r="F9" s="3" t="inlineStr">
        <is>
          <t>결재선을 정하는 창을 거쳐야 상신되고 바로 «결재완료»(내부 처리)가 되며 [수정] · [삭제]가 사라진다. [이력]에 결재 상신과 기안자(QA박안전4)가 남는다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의견청취</t>
        </is>
      </c>
    </row>
    <row r="3">
      <c r="A3" t="inlineStr">
        <is>
          <t>담당자</t>
        </is>
      </c>
      <c r="B3" t="inlineStr">
        <is>
          <t>용한빛</t>
        </is>
      </c>
    </row>
    <row r="4">
      <c r="A4" t="inlineStr">
        <is>
          <t>파일 코드</t>
        </is>
      </c>
      <c r="B4" t="inlineStr">
        <is>
          <t>OP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