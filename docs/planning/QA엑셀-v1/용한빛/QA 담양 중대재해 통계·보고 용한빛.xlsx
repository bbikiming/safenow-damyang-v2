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현황 통계" sheetId="3" state="visible" r:id="rId3"/>
    <sheet xmlns:r="http://schemas.openxmlformats.org/officeDocument/2006/relationships" name="보고서·제증명" sheetId="4" state="visible" r:id="rId4"/>
    <sheet xmlns:r="http://schemas.openxmlformats.org/officeDocument/2006/relationships" name="정보센터" sheetId="5" state="visible" r:id="rId5"/>
    <sheet xmlns:r="http://schemas.openxmlformats.org/officeDocument/2006/relationships" name="_정보" sheetId="6" state="hidden" r:id="rId6"/>
  </sheets>
  <definedNames>
    <definedName name="_xlnm._FilterDatabase" localSheetId="2" hidden="1">'현황 통계'!$A$3:$I$6</definedName>
    <definedName name="_xlnm.Print_Titles" localSheetId="2">'현황 통계'!$3:$3</definedName>
    <definedName name="_xlnm._FilterDatabase" localSheetId="3" hidden="1">'보고서·제증명'!$A$3:$I$7</definedName>
    <definedName name="_xlnm.Print_Titles" localSheetId="3">'보고서·제증명'!$3:$3</definedName>
    <definedName name="_xlnm._FilterDatabase" localSheetId="4" hidden="1">'정보센터'!$A$3:$I$4</definedName>
    <definedName name="_xlnm.Print_Titles" localSheetId="4">'정보센터'!$3:$3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통계·보고 · 용한빛</t>
        </is>
      </c>
    </row>
    <row r="3" ht="22" customHeight="1">
      <c r="A3" s="2" t="inlineStr">
        <is>
          <t>메뉴</t>
        </is>
      </c>
      <c r="B3" s="3" t="inlineStr">
        <is>
          <t>통계·보고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용한빛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QA박안전4 (재난안전과 담당자) · QA하정수4 (내 부서 담양읍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현황 통계 · 보고서·제증명 · 정보센터를 봅니다. 모두 QA박안전4 계정으로 합니다. 내려받기·출력은 아직 연계 전이라 안내가 뜨는 것이 정상입니다.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8줄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현황 통계 → 보고서·제증명 → 정보센터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QA박안전4(재난안전과), 시크릿 창(Ctrl + Shift + N · 맥 Cmd + Shift + N)에는 QA하정수4(담당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QA박안전4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QA하정수4</t>
        </is>
      </c>
      <c r="B40" s="3" t="inlineStr">
        <is>
          <t>담당 공무원 (내 부서: 담양읍)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«용한빛_집합교육».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QA박안전4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통계·보고 · 용한빛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현황 통계</t>
        </is>
      </c>
      <c r="B5" s="21">
        <f>COUNTA('현황 통계'!$A$4:$A$6)</f>
        <v>3</v>
      </c>
      <c r="C5" s="21">
        <f>COUNTIF('현황 통계'!$G$4:$G$6,"성공")</f>
        <v>0</v>
      </c>
      <c r="D5" s="21">
        <f>COUNTIF('현황 통계'!$G$4:$G$6,"실패")</f>
        <v>0</v>
      </c>
      <c r="E5" s="21">
        <f>COUNTIF('현황 통계'!$G$4:$G$6,"오류")</f>
        <v>0</v>
      </c>
      <c r="F5" s="21">
        <f>COUNTIF('현황 통계'!$G$4:$G$6,"보류")</f>
        <v>0</v>
      </c>
      <c r="G5" s="21">
        <f>COUNTIF('현황 통계'!$G$4:$G$6,"확인 불가")</f>
        <v>0</v>
      </c>
      <c r="H5" s="21">
        <f>COUNTIF('현황 통계'!$G$4:$G$6,"문의")</f>
        <v>0</v>
      </c>
      <c r="I5" s="21">
        <f>COUNTBLANK('현황 통계'!$G$4:$G$6)</f>
        <v>3</v>
      </c>
      <c r="J5" s="22">
        <f>IF(B5=0,0,(B5-I5)/B5)</f>
        <v>0</v>
      </c>
    </row>
    <row r="6" ht="22" customHeight="1">
      <c r="A6" s="20" t="inlineStr">
        <is>
          <t>보고서·제증명</t>
        </is>
      </c>
      <c r="B6" s="21">
        <f>COUNTA('보고서·제증명'!$A$4:$A$7)</f>
        <v>4</v>
      </c>
      <c r="C6" s="21">
        <f>COUNTIF('보고서·제증명'!$G$4:$G$7,"성공")</f>
        <v>0</v>
      </c>
      <c r="D6" s="21">
        <f>COUNTIF('보고서·제증명'!$G$4:$G$7,"실패")</f>
        <v>0</v>
      </c>
      <c r="E6" s="21">
        <f>COUNTIF('보고서·제증명'!$G$4:$G$7,"오류")</f>
        <v>0</v>
      </c>
      <c r="F6" s="21">
        <f>COUNTIF('보고서·제증명'!$G$4:$G$7,"보류")</f>
        <v>0</v>
      </c>
      <c r="G6" s="21">
        <f>COUNTIF('보고서·제증명'!$G$4:$G$7,"확인 불가")</f>
        <v>0</v>
      </c>
      <c r="H6" s="21">
        <f>COUNTIF('보고서·제증명'!$G$4:$G$7,"문의")</f>
        <v>0</v>
      </c>
      <c r="I6" s="21">
        <f>COUNTBLANK('보고서·제증명'!$G$4:$G$7)</f>
        <v>4</v>
      </c>
      <c r="J6" s="22">
        <f>IF(B6=0,0,(B6-I6)/B6)</f>
        <v>0</v>
      </c>
    </row>
    <row r="7" ht="22" customHeight="1">
      <c r="A7" s="20" t="inlineStr">
        <is>
          <t>정보센터</t>
        </is>
      </c>
      <c r="B7" s="21">
        <f>COUNTA('정보센터'!$A$4:$A$4)</f>
        <v>1</v>
      </c>
      <c r="C7" s="21">
        <f>COUNTIF('정보센터'!$G$4:$G$4,"성공")</f>
        <v>0</v>
      </c>
      <c r="D7" s="21">
        <f>COUNTIF('정보센터'!$G$4:$G$4,"실패")</f>
        <v>0</v>
      </c>
      <c r="E7" s="21">
        <f>COUNTIF('정보센터'!$G$4:$G$4,"오류")</f>
        <v>0</v>
      </c>
      <c r="F7" s="21">
        <f>COUNTIF('정보센터'!$G$4:$G$4,"보류")</f>
        <v>0</v>
      </c>
      <c r="G7" s="21">
        <f>COUNTIF('정보센터'!$G$4:$G$4,"확인 불가")</f>
        <v>0</v>
      </c>
      <c r="H7" s="21">
        <f>COUNTIF('정보센터'!$G$4:$G$4,"문의")</f>
        <v>0</v>
      </c>
      <c r="I7" s="21">
        <f>COUNTBLANK('정보센터'!$G$4:$G$4)</f>
        <v>1</v>
      </c>
      <c r="J7" s="22">
        <f>IF(B7=0,0,(B7-I7)/B7)</f>
        <v>0</v>
      </c>
    </row>
    <row r="8" ht="24" customHeight="1">
      <c r="A8" s="23" t="inlineStr">
        <is>
          <t>합계</t>
        </is>
      </c>
      <c r="B8" s="24">
        <f>SUM(B5:B7)</f>
        <v>8</v>
      </c>
      <c r="C8" s="24">
        <f>SUM(C5:C7)</f>
        <v>0</v>
      </c>
      <c r="D8" s="24">
        <f>SUM(D5:D7)</f>
        <v>0</v>
      </c>
      <c r="E8" s="24">
        <f>SUM(E5:E7)</f>
        <v>0</v>
      </c>
      <c r="F8" s="24">
        <f>SUM(F5:F7)</f>
        <v>0</v>
      </c>
      <c r="G8" s="24">
        <f>SUM(G5:G7)</f>
        <v>0</v>
      </c>
      <c r="H8" s="24">
        <f>SUM(H5:H7)</f>
        <v>0</v>
      </c>
      <c r="I8" s="24">
        <f>SUM(I5:I7)</f>
        <v>8</v>
      </c>
      <c r="J8" s="25">
        <f>IF(B8=0,0,(B8-I8)/B8)</f>
        <v>0</v>
      </c>
    </row>
  </sheetData>
  <mergeCells count="2">
    <mergeCell ref="A1:J1"/>
    <mergeCell ref="A2:J2"/>
  </mergeCells>
  <conditionalFormatting sqref="J5:J8">
    <cfRule type="dataBar" priority="1">
      <dataBar showValue="1">
        <cfvo type="num" val="0"/>
        <cfvo type="num" val="1"/>
        <color rgb="0063BE7B"/>
      </dataBar>
    </cfRule>
  </conditionalFormatting>
  <conditionalFormatting sqref="D5:D8">
    <cfRule type="cellIs" priority="2" operator="greaterThan" dxfId="0">
      <formula>0</formula>
    </cfRule>
  </conditionalFormatting>
  <conditionalFormatting sqref="E5:E8">
    <cfRule type="cellIs" priority="3" operator="greaterThan" dxfId="0">
      <formula>0</formula>
    </cfRule>
  </conditionalFormatting>
  <conditionalFormatting sqref="H5:H8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통계·보고 — 현황 통계</t>
        </is>
      </c>
    </row>
    <row r="2" ht="24" customHeight="1">
      <c r="A2" s="26" t="inlineStr">
        <is>
          <t>🗂 QA박안전4 창에서 합니다. 숫자가 안 맞으면 새로고침 후 다시 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QA박안전4(재난안전과)</t>
        </is>
      </c>
      <c r="C4" s="3" t="inlineStr">
        <is>
          <t>통계·보고 &gt; 현황 통계</t>
        </is>
      </c>
      <c r="D4" s="17" t="inlineStr">
        <is>
          <t>조건 바꾸기</t>
        </is>
      </c>
      <c r="E4" s="3" t="inlineStr">
        <is>
          <t>연도 · 기간 · 대메뉴 조건을 하나씩 바꾼다</t>
        </is>
      </c>
      <c r="F4" s="3" t="inlineStr">
        <is>
          <t>위 숫자 · 분포 · 표가 함께 바뀌고, «조회 문서 전체» 숫자와 «대메뉴별 문서 분포 (N건)»의 N이 늘 같다</t>
        </is>
      </c>
      <c r="G4" s="29" t="n"/>
      <c r="H4" s="7" t="n"/>
      <c r="I4" s="7" t="n"/>
    </row>
    <row r="5" ht="66" customHeight="1">
      <c r="A5" s="28" t="n">
        <v>2</v>
      </c>
      <c r="B5" s="30" t="inlineStr">
        <is>
          <t>QA박안전4(재난안전과)</t>
        </is>
      </c>
      <c r="C5" s="30" t="inlineStr">
        <is>
          <t>통계·보고 &gt; 현황 통계</t>
        </is>
      </c>
      <c r="D5" s="17" t="inlineStr">
        <is>
          <t>분야를 누르면 문서 목록으로</t>
        </is>
      </c>
      <c r="E5" s="3" t="inlineStr">
        <is>
          <t>① 연도 · 기간 · 대메뉴를 모두 «전체»로 둔다
② 아래 «대메뉴별 이행 현황표»의 첫 칸에서 대메뉴 이름(예: 위험성평가)을 누른다</t>
        </is>
      </c>
      <c r="F5" s="3" t="inlineStr">
        <is>
          <t>업무 관리 문서 목록이 열리고 위에 «분야 위험성평가 문서 N건» 조건이 붙는다. N이 그 줄의 «전체» 칸 숫자와 같고, 조건의 ×로 풀 수 있다</t>
        </is>
      </c>
      <c r="G5" s="29" t="n"/>
      <c r="H5" s="7" t="n"/>
      <c r="I5" s="7" t="n"/>
    </row>
    <row r="6" ht="51" customHeight="1">
      <c r="A6" s="28" t="n">
        <v>3</v>
      </c>
      <c r="B6" s="30" t="inlineStr">
        <is>
          <t>QA박안전4(재난안전과)</t>
        </is>
      </c>
      <c r="C6" s="30" t="inlineStr">
        <is>
          <t>통계·보고 &gt; 현황 통계</t>
        </is>
      </c>
      <c r="D6" s="17" t="inlineStr">
        <is>
          <t>내려받기 · 신고 현황</t>
        </is>
      </c>
      <c r="E6" s="3" t="inlineStr">
        <is>
          <t>① [엑셀 다운로드]
② [신고 현황]</t>
        </is>
      </c>
      <c r="F6" s="3" t="inlineStr">
        <is>
          <t>«통계 엑셀 내려받기는 집계 원본 확정 후 제공됩니다»가 뜬다. [신고 현황]은 의견청취·건의함 화면으로 간다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통계·보고 — 보고서·제증명</t>
        </is>
      </c>
    </row>
    <row r="2" ht="24" customHeight="1">
      <c r="A2" s="26" t="inlineStr">
        <is>
          <t>🗂 QA박안전4 창에서 합니다. 7번은 6번에서 새로 생긴 발급번호로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96" customHeight="1">
      <c r="A4" s="28" t="n">
        <v>4</v>
      </c>
      <c r="B4" s="3" t="inlineStr">
        <is>
          <t>QA박안전4(재난안전과)</t>
        </is>
      </c>
      <c r="C4" s="3" t="inlineStr">
        <is>
          <t>통계·보고 &gt; 보고서·제증명</t>
        </is>
      </c>
      <c r="D4" s="17" t="inlineStr">
        <is>
          <t>보고서 조건과 미리보기</t>
        </is>
      </c>
      <c r="E4" s="3" t="inlineStr">
        <is>
          <t>① 보고서 종류를 «총괄보고서» → «위험성평가 결과 보고서» → «이행사실 확인서(제증명)»로 바꾼다
② 시작일 · 종료일을 바꾼다
③ 종료일을 내일로 바꿔 본다
④ 종료일을 오늘로 되돌린다</t>
        </is>
      </c>
      <c r="F4" s="3" t="inlineStr">
        <is>
          <t>미리보기 제목이 고른 종류와 기간으로 바뀌고 조건 칸이 겹치지 않는다. 확인서를 고르면 [온나라 결재]가 사라지고 대상 칸이 생긴다. 종료일이 내일이면 «시작일은 종료일보다 늦을 수 없고 미래일을 선택할 수 없습니다.»가 뜬다</t>
        </is>
      </c>
      <c r="G4" s="29" t="n"/>
      <c r="H4" s="7" t="n"/>
      <c r="I4" s="7" t="n"/>
    </row>
    <row r="5" ht="96" customHeight="1">
      <c r="A5" s="28" t="n">
        <v>5</v>
      </c>
      <c r="B5" s="30" t="inlineStr">
        <is>
          <t>QA박안전4(재난안전과)</t>
        </is>
      </c>
      <c r="C5" s="30" t="inlineStr">
        <is>
          <t>통계·보고 &gt; 보고서·제증명</t>
        </is>
      </c>
      <c r="D5" s="17" t="inlineStr">
        <is>
          <t>대상자 고르기</t>
        </is>
      </c>
      <c r="E5" s="3" t="inlineStr">
        <is>
          <t>① 보고서 종류 «개인 안전보건교육 이수 확인서»
② 대상자 없이 [PDF 출력]
③ [대상자 선택] → 이수현황의 [대상자별 상세] → 이수 상태 «완료»
④ 한 사람의 [발급]</t>
        </is>
      </c>
      <c r="F5" s="3" t="inlineStr">
        <is>
          <t>대상자가 없으면 «이수현황에서 발급 대상자를 먼저 선택하세요.» [발급]을 누르면 보고서·제증명으로 돌아와 발급 대상자에 그 사람이 채워지고 미리보기 판정이 «이수 완료»다. 이수 완료자가 없으면 «확인 불가»</t>
        </is>
      </c>
      <c r="G5" s="29" t="n"/>
      <c r="H5" s="7" t="n"/>
      <c r="I5" s="7" t="n"/>
    </row>
    <row r="6" ht="96" customHeight="1">
      <c r="A6" s="28" t="n">
        <v>6</v>
      </c>
      <c r="B6" s="30" t="inlineStr">
        <is>
          <t>QA박안전4(재난안전과)</t>
        </is>
      </c>
      <c r="C6" s="30" t="inlineStr">
        <is>
          <t>통계·보고 &gt; 보고서·제증명</t>
        </is>
      </c>
      <c r="D6" s="17" t="inlineStr">
        <is>
          <t>출력 · 결재</t>
        </is>
      </c>
      <c r="E6" s="3" t="inlineStr">
        <is>
          <t>① 보고서 종류 «총괄보고서»
② [온나라 결재]
③ [PDF 출력]
④ 출력 이력에서 출력자가 내 QA박안전4 계정이고 방금 시각인 줄의 발급번호를 메모에 적는다</t>
        </is>
      </c>
      <c r="F6" s="3" t="inlineStr">
        <is>
          <t>둘 다 «… — 파일·결재 생성은 전자문서 연계 후 적용됩니다.»가 뜬다. [온나라 결재]는 출력 이력을 늘리지 않고, [PDF 출력]은 출력 이력에 새 발급번호 줄을 남긴다(출력자는 QA박안전4 계정)</t>
        </is>
      </c>
      <c r="G6" s="29" t="n"/>
      <c r="H6" s="7" t="n"/>
      <c r="I6" s="7" t="n"/>
    </row>
    <row r="7" ht="51" customHeight="1">
      <c r="A7" s="28" t="n">
        <v>7</v>
      </c>
      <c r="B7" s="30" t="inlineStr">
        <is>
          <t>QA박안전4(재난안전과)</t>
        </is>
      </c>
      <c r="C7" s="30" t="inlineStr">
        <is>
          <t>통계·보고 &gt; 보고서·제증명</t>
        </is>
      </c>
      <c r="D7" s="17" t="inlineStr">
        <is>
          <t>발급번호 확인</t>
        </is>
      </c>
      <c r="E7" s="3" t="inlineStr">
        <is>
          <t>① «발급번호 진위확인»에 6번에서 적은 번호를 넣고 [조회]
② 없는 번호(예: DY-1999-9999)로 [조회]</t>
        </is>
      </c>
      <c r="F7" s="3" t="inlineStr">
        <is>
          <t>있는 번호는 «발급 이력 확인»과 보고서 종류 · 발급일 · 출력자가, 없는 번호는 «일치하는 발급 이력이 없습니다.»가 나온다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4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통계·보고 — 정보센터</t>
        </is>
      </c>
    </row>
    <row r="2" ht="24" customHeight="1">
      <c r="A2" s="26" t="inlineStr">
        <is>
          <t>🗂 QA박안전4 창에서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8</v>
      </c>
      <c r="B4" s="3" t="inlineStr">
        <is>
          <t>QA박안전4(재난안전과)</t>
        </is>
      </c>
      <c r="C4" s="3" t="inlineStr">
        <is>
          <t>통계·보고 &gt; 정보센터</t>
        </is>
      </c>
      <c r="D4" s="17" t="inlineStr">
        <is>
          <t>탭과 안내</t>
        </is>
      </c>
      <c r="E4" s="3" t="inlineStr">
        <is>
          <t>① [공지사항] · [자료실] · [우수사례] 탭을 누른다
② 통합검색의 [검색]
③ [자료실]의 [다운로드]</t>
        </is>
      </c>
      <c r="F4" s="3" t="inlineStr">
        <is>
          <t>세 탭이 바뀌어 뜬다. [검색]은 «통합검색은 자료 색인 구축 후 제공됩니다», [다운로드]는 «자료 내려받기는 자료실 파일 등록 후 제공됩니다»가 뜬다</t>
        </is>
      </c>
      <c r="G4" s="29" t="n"/>
      <c r="H4" s="7" t="n"/>
      <c r="I4" s="7" t="n"/>
    </row>
  </sheetData>
  <autoFilter ref="A3:I4"/>
  <mergeCells count="2">
    <mergeCell ref="A1:I1"/>
    <mergeCell ref="A2:I2"/>
  </mergeCells>
  <conditionalFormatting sqref="G4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">
    <cfRule type="expression" priority="7" dxfId="7">
      <formula>AND(OR($G4="실패",$G4="오류",$G4="문의"),$H4="")</formula>
    </cfRule>
  </conditionalFormatting>
  <dataValidations count="1">
    <dataValidation sqref="G4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통계·보고</t>
        </is>
      </c>
    </row>
    <row r="3">
      <c r="A3" t="inlineStr">
        <is>
          <t>담당자</t>
        </is>
      </c>
      <c r="B3" t="inlineStr">
        <is>
          <t>용한빛</t>
        </is>
      </c>
    </row>
    <row r="4">
      <c r="A4" t="inlineStr">
        <is>
          <t>파일 코드</t>
        </is>
      </c>
      <c r="B4" t="inlineStr">
        <is>
          <t>ST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