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읽는 법" sheetId="1" state="visible" r:id="rId1"/>
    <sheet xmlns:r="http://schemas.openxmlformats.org/officeDocument/2006/relationships" name="대메뉴 구성" sheetId="2" state="visible" r:id="rId2"/>
    <sheet xmlns:r="http://schemas.openxmlformats.org/officeDocument/2006/relationships" name="화면별 근거" sheetId="3" state="visible" r:id="rId3"/>
  </sheets>
  <definedNames>
    <definedName name="_xlnm._FilterDatabase" localSheetId="2" hidden="1">'화면별 근거'!$A$1:$E$48</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FF0F3D2E"/>
      <sz val="16"/>
    </font>
    <font>
      <name val="Arial"/>
      <color rgb="FF4A5A52"/>
      <sz val="10"/>
    </font>
    <font>
      <name val="Arial"/>
      <b val="1"/>
      <color rgb="FF0F3D2E"/>
      <sz val="10"/>
    </font>
    <font>
      <name val="Arial"/>
      <color rgb="FF1A2420"/>
      <sz val="10"/>
    </font>
    <font>
      <name val="Arial"/>
      <b val="1"/>
      <color rgb="FF0F3D2E"/>
      <sz val="12"/>
    </font>
    <font>
      <name val="Arial"/>
      <b val="1"/>
      <color rgb="FFFFFFFF"/>
      <sz val="10"/>
    </font>
    <font>
      <name val="Arial"/>
      <b val="1"/>
      <color rgb="FF1A2420"/>
      <sz val="10"/>
    </font>
  </fonts>
  <fills count="4">
    <fill>
      <patternFill/>
    </fill>
    <fill>
      <patternFill patternType="gray125"/>
    </fill>
    <fill>
      <patternFill patternType="solid">
        <fgColor rgb="FF0F3D2E"/>
      </patternFill>
    </fill>
    <fill>
      <patternFill patternType="solid">
        <fgColor rgb="FFF2F6F4"/>
      </patternFill>
    </fill>
  </fills>
  <borders count="2">
    <border>
      <left/>
      <right/>
      <top/>
      <bottom/>
      <diagonal/>
    </border>
    <border>
      <bottom style="thin">
        <color rgb="FFD8E0DC"/>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2" fillId="0" borderId="0" applyAlignment="1" pivotButton="0" quotePrefix="0" xfId="0">
      <alignment vertical="top" wrapText="1"/>
    </xf>
    <xf numFmtId="0" fontId="5" fillId="0" borderId="0" pivotButton="0" quotePrefix="0" xfId="0"/>
    <xf numFmtId="0" fontId="5" fillId="0" borderId="0" applyAlignment="1" pivotButton="0" quotePrefix="0" xfId="0">
      <alignment horizontal="left" vertical="center"/>
    </xf>
    <xf numFmtId="0" fontId="6" fillId="2" borderId="0" applyAlignment="1" pivotButton="0" quotePrefix="0" xfId="0">
      <alignment vertical="center" wrapText="1"/>
    </xf>
    <xf numFmtId="0" fontId="5" fillId="0" borderId="1" applyAlignment="1" pivotButton="0" quotePrefix="0" xfId="0">
      <alignment vertical="center" wrapText="1"/>
    </xf>
    <xf numFmtId="0" fontId="3" fillId="0" borderId="1" applyAlignment="1" pivotButton="0" quotePrefix="0" xfId="0">
      <alignment vertical="top" wrapText="1"/>
    </xf>
    <xf numFmtId="0" fontId="2" fillId="0" borderId="1" applyAlignment="1" pivotButton="0" quotePrefix="0" xfId="0">
      <alignment vertical="top" wrapText="1"/>
    </xf>
    <xf numFmtId="0" fontId="4" fillId="0" borderId="1" applyAlignment="1" pivotButton="0" quotePrefix="0" xfId="0">
      <alignment vertical="center" wrapText="1"/>
    </xf>
    <xf numFmtId="0" fontId="4" fillId="0" borderId="1" applyAlignment="1" pivotButton="0" quotePrefix="0" xfId="0">
      <alignment vertical="top" wrapText="1"/>
    </xf>
    <xf numFmtId="0" fontId="5" fillId="3" borderId="1" applyAlignment="1" pivotButton="0" quotePrefix="0" xfId="0">
      <alignment vertical="center" wrapText="1"/>
    </xf>
    <xf numFmtId="0" fontId="3" fillId="3" borderId="1" applyAlignment="1" pivotButton="0" quotePrefix="0" xfId="0">
      <alignment vertical="top" wrapText="1"/>
    </xf>
    <xf numFmtId="0" fontId="2" fillId="3" borderId="1" applyAlignment="1" pivotButton="0" quotePrefix="0" xfId="0">
      <alignment vertical="top" wrapText="1"/>
    </xf>
    <xf numFmtId="0" fontId="4" fillId="3" borderId="1" applyAlignment="1" pivotButton="0" quotePrefix="0" xfId="0">
      <alignment vertical="center" wrapText="1"/>
    </xf>
    <xf numFmtId="0" fontId="4" fillId="3" borderId="1" applyAlignment="1" pivotButton="0" quotePrefix="0" xfId="0">
      <alignment vertical="top" wrapText="1"/>
    </xf>
    <xf numFmtId="0" fontId="7" fillId="0" borderId="1" applyAlignment="1" pivotButton="0" quotePrefix="0" xfId="0">
      <alignment vertical="top" wrapText="1"/>
    </xf>
    <xf numFmtId="0" fontId="7"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C25"/>
  <sheetViews>
    <sheetView showGridLines="0" workbookViewId="0">
      <selection activeCell="A1" sqref="A1"/>
    </sheetView>
  </sheetViews>
  <sheetFormatPr baseColWidth="8" defaultRowHeight="15"/>
  <cols>
    <col width="3" customWidth="1" min="1" max="1"/>
    <col width="24" customWidth="1" min="2" max="2"/>
    <col width="100" customWidth="1" min="3" max="3"/>
  </cols>
  <sheetData>
    <row r="2" ht="26" customHeight="1">
      <c r="B2" s="1" t="inlineStr">
        <is>
          <t>담양군 중대재해예방 통합관리시스템 — 메뉴 구성과 근거</t>
        </is>
      </c>
    </row>
    <row r="3" ht="18" customHeight="1">
      <c r="B3" s="2" t="inlineStr">
        <is>
          <t>지금 구축된 시스템의 대메뉴와 화면이 각각 어떤 근거로 만들어졌는지 정리한 문서입니다.</t>
        </is>
      </c>
    </row>
    <row r="5" ht="35" customHeight="1">
      <c r="B5" s="3" t="inlineStr">
        <is>
          <t>무엇인가</t>
        </is>
      </c>
      <c r="C5" s="4" t="inlineStr">
        <is>
          <t>대메뉴 11개·화면 47개가 각각 어떤 제안요청서 요구사항과 법령에 따라 만들어졌는지 정리했습니다.</t>
        </is>
      </c>
    </row>
    <row r="6" ht="48.5" customHeight="1">
      <c r="C6" s="5" t="inlineStr">
        <is>
          <t>메뉴는 제안요청서 「2. 기능 모듈 기준 분류」의 7개 축에 맞춰 나눴습니다. 요구사항 하나가 여러 화면으로 나뉘기도 하고 한 화면이 여러 요구사항을 함께 맡기도 해서, 요구사항 수와 화면 수가 일대일로 떨어지지는 않습니다.</t>
        </is>
      </c>
    </row>
    <row r="8" ht="35" customHeight="1">
      <c r="B8" s="3" t="inlineStr">
        <is>
          <t>시트</t>
        </is>
      </c>
      <c r="C8" s="4" t="inlineStr">
        <is>
          <t>② 대메뉴 구성 — 대메뉴 11개와 각 메뉴가 맡는 요구사항          ③ 화면별 근거 — 화면 47개의 요구사항·법령 근거와 필요한 이유</t>
        </is>
      </c>
    </row>
    <row r="10" ht="35" customHeight="1">
      <c r="B10" s="3" t="inlineStr">
        <is>
          <t>표 읽는 법</t>
        </is>
      </c>
      <c r="C10" s="4" t="inlineStr">
        <is>
          <t>「제안요청서 요구사항」이 비어 있는 화면은 법령이 요구해서 만든 화면이고, 「법령 근거」가 「근거 없음」인 화면은 제안요청서가 요구해서 만든 화면입니다.</t>
        </is>
      </c>
    </row>
    <row r="11" ht="35" customHeight="1">
      <c r="C11" s="5" t="inlineStr">
        <is>
          <t>둘 다 빠뜨린 것이 아니라 확인한 결과입니다. 예) 작업환경측정·건강검진은 제안요청서가 직접 요구하지 않았고 산업안전보건법이 요구해서 만든 화면입니다.</t>
        </is>
      </c>
    </row>
    <row r="13" ht="22" customHeight="1">
      <c r="B13" s="6" t="inlineStr">
        <is>
          <t>확인 부탁드립니다</t>
        </is>
      </c>
    </row>
    <row r="14" ht="35" customHeight="1">
      <c r="C14" s="4" t="inlineStr">
        <is>
          <t>① 대메뉴 이름이 담양군에서 실제로 쓰시는 말과 맞는지 — 다르게 부르시는 이름이 있으면 그대로 바꾸겠습니다.</t>
        </is>
      </c>
    </row>
    <row r="15" ht="35" customHeight="1">
      <c r="C15" s="4" t="inlineStr">
        <is>
          <t>② 메뉴에 들어갈 화면이 빠지지 않았는지 — 담당 업무 중 이 표에 자리가 없는 것이 있으면 알려 주십시오.</t>
        </is>
      </c>
    </row>
    <row r="16" ht="35" customHeight="1">
      <c r="C16" s="4" t="inlineStr">
        <is>
          <t>③ 「근거 없음」으로 적은 화면 중에 담양군 조례·지침·내부 규정상 근거가 있는 것이 있는지 — 있으면 채워 넣겠습니다.</t>
        </is>
      </c>
    </row>
    <row r="19" ht="22" customHeight="1">
      <c r="B19" s="6" t="inlineStr">
        <is>
          <t>요약</t>
        </is>
      </c>
    </row>
    <row r="20" ht="17" customHeight="1">
      <c r="B20" s="5" t="inlineStr">
        <is>
          <t>대메뉴</t>
        </is>
      </c>
      <c r="C20" s="7">
        <f>COUNTA('대메뉴 구성'!B2:B12)</f>
        <v>11</v>
      </c>
    </row>
    <row r="21" ht="17" customHeight="1">
      <c r="B21" s="5" t="inlineStr">
        <is>
          <t>화면</t>
        </is>
      </c>
      <c r="C21" s="7">
        <f>COUNTA('화면별 근거'!B2:B48)</f>
        <v>47</v>
      </c>
    </row>
    <row r="22" ht="17" customHeight="1">
      <c r="B22" s="5" t="inlineStr">
        <is>
          <t>법령 근거가 있는 화면</t>
        </is>
      </c>
      <c r="C22" s="7">
        <f>COUNTIF('화면별 근거'!D2:D48,"&lt;&gt;근거 없음")</f>
        <v>30</v>
      </c>
    </row>
    <row r="23" ht="17" customHeight="1">
      <c r="B23" s="5" t="inlineStr">
        <is>
          <t>근거 없음으로 확인한 화면</t>
        </is>
      </c>
      <c r="C23" s="7">
        <f>COUNTIF('화면별 근거'!D2:D48,"근거 없음")</f>
        <v>17</v>
      </c>
    </row>
    <row r="25" ht="62" customHeight="1">
      <c r="B25" s="3" t="inlineStr">
        <is>
          <t>출처</t>
        </is>
      </c>
      <c r="C25" s="4" t="inlineStr">
        <is>
          <t>메뉴 구조는 시스템에서, 요구사항 번호·이름은 제안요청서에서 가져왔습니다. 법령 조문은 2026년 9월 1일 기준 현행 법령을 법제처 국가법령정보센터에서 확인했습니다 — 산업안전보건법 시행 2026-06-01 · 같은 법 시행규칙 시행 2026-08-01 · 중대재해처벌법 시행령 시행 2025-10-01 · 사업장 위험성평가에 관한 지침(고시) 2024-12-18.</t>
        </is>
      </c>
    </row>
  </sheetData>
  <mergeCells count="2">
    <mergeCell ref="B3:C3"/>
    <mergeCell ref="B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
  <sheetViews>
    <sheetView showGridLines="0" workbookViewId="0">
      <pane ySplit="1" topLeftCell="A2" activePane="bottomLeft" state="frozen"/>
      <selection pane="bottomLeft" activeCell="A1" sqref="A1"/>
    </sheetView>
  </sheetViews>
  <sheetFormatPr baseColWidth="8" defaultRowHeight="15"/>
  <cols>
    <col width="6" customWidth="1" min="1" max="1"/>
    <col width="22" customWidth="1" min="2" max="2"/>
    <col width="42" customWidth="1" min="3" max="3"/>
    <col width="10" customWidth="1" min="4" max="4"/>
    <col width="46" customWidth="1" min="5" max="5"/>
  </cols>
  <sheetData>
    <row r="1" ht="30" customHeight="1">
      <c r="A1" s="8" t="inlineStr"/>
      <c r="B1" s="8" t="inlineStr">
        <is>
          <t>대메뉴</t>
        </is>
      </c>
      <c r="C1" s="8" t="inlineStr">
        <is>
          <t>제안요청서 기능 모듈 (근거 축)</t>
        </is>
      </c>
      <c r="D1" s="8" t="inlineStr">
        <is>
          <t>화면 수</t>
        </is>
      </c>
      <c r="E1" s="8" t="inlineStr">
        <is>
          <t>이 메뉴가 맡는 요구사항</t>
        </is>
      </c>
    </row>
    <row r="2" ht="30" customHeight="1">
      <c r="A2" s="9" t="inlineStr">
        <is>
          <t>①</t>
        </is>
      </c>
      <c r="B2" s="10" t="inlineStr">
        <is>
          <t>대시보드</t>
        </is>
      </c>
      <c r="C2" s="11" t="inlineStr">
        <is>
          <t>현황·통계·대시보드·출력</t>
        </is>
      </c>
      <c r="D2" s="12" t="n">
        <v>2</v>
      </c>
      <c r="E2" s="13" t="inlineStr">
        <is>
          <t>SFR-020</t>
        </is>
      </c>
    </row>
    <row r="3" ht="30" customHeight="1">
      <c r="A3" s="14" t="inlineStr">
        <is>
          <t>②</t>
        </is>
      </c>
      <c r="B3" s="15" t="inlineStr">
        <is>
          <t>기본정보</t>
        </is>
      </c>
      <c r="C3" s="16" t="inlineStr">
        <is>
          <t>공통 기반 · 대상/시설 정보 관리</t>
        </is>
      </c>
      <c r="D3" s="17" t="n">
        <v>6</v>
      </c>
      <c r="E3" s="18" t="inlineStr">
        <is>
          <t>SFR-002 · SFR-016</t>
        </is>
      </c>
    </row>
    <row r="4" ht="35" customHeight="1">
      <c r="A4" s="9" t="inlineStr">
        <is>
          <t>③</t>
        </is>
      </c>
      <c r="B4" s="10" t="inlineStr">
        <is>
          <t>안전보건관리체계</t>
        </is>
      </c>
      <c r="C4" s="11" t="inlineStr">
        <is>
          <t>계획·방침·의무 이행 · 조직·인력·예산·평가 · 종사자·도급·매뉴얼 관리</t>
        </is>
      </c>
      <c r="D4" s="12" t="n">
        <v>4</v>
      </c>
      <c r="E4" s="13" t="inlineStr">
        <is>
          <t>SFR-005 · SFR-006 · SFR-010 · SFR-013 · SFR-014</t>
        </is>
      </c>
    </row>
    <row r="5" ht="30" customHeight="1">
      <c r="A5" s="14" t="inlineStr">
        <is>
          <t>④</t>
        </is>
      </c>
      <c r="B5" s="15" t="inlineStr">
        <is>
          <t>위험성평가</t>
        </is>
      </c>
      <c r="C5" s="16" t="inlineStr">
        <is>
          <t>위험성평가·유해위험요인·재발방지</t>
        </is>
      </c>
      <c r="D5" s="17" t="n">
        <v>2</v>
      </c>
      <c r="E5" s="18" t="inlineStr">
        <is>
          <t>SFR-003 · SFR-007</t>
        </is>
      </c>
    </row>
    <row r="6" ht="35" customHeight="1">
      <c r="A6" s="9" t="inlineStr">
        <is>
          <t>⑤</t>
        </is>
      </c>
      <c r="B6" s="10" t="inlineStr">
        <is>
          <t>안전보건교육</t>
        </is>
      </c>
      <c r="C6" s="11" t="inlineStr">
        <is>
          <t>계획·방침·의무 이행 · 조직·인력·예산·평가</t>
        </is>
      </c>
      <c r="D6" s="12" t="n">
        <v>9</v>
      </c>
      <c r="E6" s="13" t="inlineStr">
        <is>
          <t>SFR-004 · SFR-008</t>
        </is>
      </c>
    </row>
    <row r="7" ht="35" customHeight="1">
      <c r="A7" s="14" t="inlineStr">
        <is>
          <t>⑥</t>
        </is>
      </c>
      <c r="B7" s="15" t="inlineStr">
        <is>
          <t>작업환경·건강</t>
        </is>
      </c>
      <c r="C7" s="16" t="inlineStr">
        <is>
          <t>— (제안요청서가 아니라 법령이 요구한 메뉴)</t>
        </is>
      </c>
      <c r="D7" s="17" t="n">
        <v>2</v>
      </c>
      <c r="E7" s="18" t="inlineStr">
        <is>
          <t>—</t>
        </is>
      </c>
    </row>
    <row r="8" ht="35" customHeight="1">
      <c r="A8" s="9" t="inlineStr">
        <is>
          <t>⑦</t>
        </is>
      </c>
      <c r="B8" s="10" t="inlineStr">
        <is>
          <t>의견청취</t>
        </is>
      </c>
      <c r="C8" s="11" t="inlineStr">
        <is>
          <t>위험성평가·유해위험요인·재발방지 · 종사자·도급·매뉴얼 관리</t>
        </is>
      </c>
      <c r="D8" s="12" t="n">
        <v>3</v>
      </c>
      <c r="E8" s="13" t="inlineStr">
        <is>
          <t>SFR-011 · SFR-019</t>
        </is>
      </c>
    </row>
    <row r="9" ht="30" customHeight="1">
      <c r="A9" s="14" t="inlineStr">
        <is>
          <t>⑧</t>
        </is>
      </c>
      <c r="B9" s="15" t="inlineStr">
        <is>
          <t>인력·예산</t>
        </is>
      </c>
      <c r="C9" s="16" t="inlineStr">
        <is>
          <t>조직·인력·예산·평가</t>
        </is>
      </c>
      <c r="D9" s="17" t="n">
        <v>5</v>
      </c>
      <c r="E9" s="18" t="inlineStr">
        <is>
          <t>SFR-008 · SFR-009</t>
        </is>
      </c>
    </row>
    <row r="10" ht="35" customHeight="1">
      <c r="A10" s="9" t="inlineStr">
        <is>
          <t>⑨</t>
        </is>
      </c>
      <c r="B10" s="10" t="inlineStr">
        <is>
          <t>업무 관리</t>
        </is>
      </c>
      <c r="C10" s="11" t="inlineStr">
        <is>
          <t>계획·방침·의무 이행 · 종사자·도급·매뉴얼 관리</t>
        </is>
      </c>
      <c r="D10" s="12" t="n">
        <v>3</v>
      </c>
      <c r="E10" s="13" t="inlineStr">
        <is>
          <t>SFR-004 · SFR-012 · SFR-014</t>
        </is>
      </c>
    </row>
    <row r="11" ht="35" customHeight="1">
      <c r="A11" s="14" t="inlineStr">
        <is>
          <t>⑩</t>
        </is>
      </c>
      <c r="B11" s="15" t="inlineStr">
        <is>
          <t>통계·보고</t>
        </is>
      </c>
      <c r="C11" s="16" t="inlineStr">
        <is>
          <t>위험성평가·유해위험요인·재발방지 · 현황·통계·대시보드·출력</t>
        </is>
      </c>
      <c r="D11" s="17" t="n">
        <v>3</v>
      </c>
      <c r="E11" s="18" t="inlineStr">
        <is>
          <t>SFR-018 · SFR-019 · SFR-021</t>
        </is>
      </c>
    </row>
    <row r="12" ht="35" customHeight="1">
      <c r="A12" s="9" t="inlineStr">
        <is>
          <t>⑪</t>
        </is>
      </c>
      <c r="B12" s="10" t="inlineStr">
        <is>
          <t>시스템 관리</t>
        </is>
      </c>
      <c r="C12" s="11" t="inlineStr">
        <is>
          <t>공통 기반 · 대상/시설 정보 관리</t>
        </is>
      </c>
      <c r="D12" s="12" t="n">
        <v>8</v>
      </c>
      <c r="E12" s="13" t="inlineStr">
        <is>
          <t>SFR-001 · SFR-002 · SFR-015 · SFR-017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8"/>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30" customWidth="1" min="2" max="2"/>
    <col width="34" customWidth="1" min="3" max="3"/>
    <col width="44" customWidth="1" min="4" max="4"/>
    <col width="62" customWidth="1" min="5" max="5"/>
  </cols>
  <sheetData>
    <row r="1" ht="30" customHeight="1">
      <c r="A1" s="8" t="inlineStr">
        <is>
          <t>대메뉴</t>
        </is>
      </c>
      <c r="B1" s="8" t="inlineStr">
        <is>
          <t>화면</t>
        </is>
      </c>
      <c r="C1" s="8" t="inlineStr">
        <is>
          <t>제안요청서 요구사항</t>
        </is>
      </c>
      <c r="D1" s="8" t="inlineStr">
        <is>
          <t>법령 근거</t>
        </is>
      </c>
      <c r="E1" s="8" t="inlineStr">
        <is>
          <t>왜 필요한가</t>
        </is>
      </c>
    </row>
    <row r="2" ht="48.5" customHeight="1">
      <c r="A2" s="10" t="inlineStr">
        <is>
          <t>대시보드</t>
        </is>
      </c>
      <c r="B2" s="19" t="inlineStr">
        <is>
          <t>통합 현황</t>
        </is>
      </c>
      <c r="C2" s="13" t="inlineStr">
        <is>
          <t>SFR-020</t>
        </is>
      </c>
      <c r="D2" s="11" t="inlineStr">
        <is>
          <t>근거 없음</t>
        </is>
      </c>
      <c r="E2" s="13" t="inlineStr">
        <is>
          <t>군수·과장·담당자가 각자 자기 층위에서 지금 무엇이 밀려 있는지 한 화면에서 본다. 제안요청서가 요구한 시설현황·예방활동·시기도래·진행현황을 한 자리에 모은 첫 화면이다.</t>
        </is>
      </c>
    </row>
    <row r="3" ht="48.5" customHeight="1">
      <c r="A3" s="10" t="n"/>
      <c r="B3" s="19" t="inlineStr">
        <is>
          <t>내 할일</t>
        </is>
      </c>
      <c r="C3" s="13" t="inlineStr">
        <is>
          <t>—</t>
        </is>
      </c>
      <c r="D3" s="11" t="inlineStr">
        <is>
          <t>근거 없음</t>
        </is>
      </c>
      <c r="E3" s="13" t="inlineStr">
        <is>
          <t>여러 업무(위험성평가·교육·개선조치·문서)에 흩어진 내 몫을 한 목록으로 모은다. 도메인마다 화면을 돌며 확인하지 않게 하는 자리라 법령이 직접 명한 화면은 아니다.</t>
        </is>
      </c>
    </row>
    <row r="4" ht="75.5" customHeight="1">
      <c r="A4" s="15" t="inlineStr">
        <is>
          <t>기본정보</t>
        </is>
      </c>
      <c r="B4" s="20" t="inlineStr">
        <is>
          <t>관리대상 &gt; 관리대상 현황</t>
        </is>
      </c>
      <c r="C4" s="18" t="inlineStr">
        <is>
          <t>SFR-002</t>
        </is>
      </c>
      <c r="D4" s="16" t="inlineStr">
        <is>
          <t>중대재해처벌법 제4조
중대재해처벌법 제9조
시설물안전법 제7조
중대재해처벌법 시행령 별표2
중대재해처벌법 시행령 별표3</t>
        </is>
      </c>
      <c r="E4" s="18" t="inlineStr">
        <is>
          <t>중대재해처벌법이 말하는 「실질적으로 지배·운영·관리하는」 대상이 무엇인지 확정하는 자리다. 이 목록이 서야 위험성평가·점검·교육의 대상이 정해진다.</t>
        </is>
      </c>
    </row>
    <row r="5" ht="35" customHeight="1">
      <c r="A5" s="15" t="n"/>
      <c r="B5" s="20" t="inlineStr">
        <is>
          <t>관리대상 &gt; 데이터 일괄등록</t>
        </is>
      </c>
      <c r="C5" s="18" t="inlineStr">
        <is>
          <t>SFR-016</t>
        </is>
      </c>
      <c r="D5" s="16" t="inlineStr">
        <is>
          <t>근거 없음</t>
        </is>
      </c>
      <c r="E5" s="18" t="inlineStr">
        <is>
          <t>관리대상·근로자 등을 엑셀 서식으로 한 번에 올린다. 건별 입력으로는 초기 구축과 연간 갱신을 감당할 수 없다.</t>
        </is>
      </c>
    </row>
    <row r="6" ht="48.5" customHeight="1">
      <c r="A6" s="15" t="n"/>
      <c r="B6" s="20" t="inlineStr">
        <is>
          <t>시설물 (FMS 연계) &gt; 시설물 대장</t>
        </is>
      </c>
      <c r="C6" s="18" t="inlineStr">
        <is>
          <t>SFR-002
SFR-016</t>
        </is>
      </c>
      <c r="D6" s="16" t="inlineStr">
        <is>
          <t>중대재해처벌법 제9조
중대재해처벌법 시행령 제10조
시설물안전법 제7조</t>
        </is>
      </c>
      <c r="E6" s="18" t="inlineStr">
        <is>
          <t>중대시민재해 대상인 공중이용시설을 시설물관리시스템에서 받아 현행화한다. 담양군이 따로 관리하면 원본과 어긋난다.</t>
        </is>
      </c>
    </row>
    <row r="7" ht="75.5" customHeight="1">
      <c r="A7" s="15" t="n"/>
      <c r="B7" s="20" t="inlineStr">
        <is>
          <t>시설물 (FMS 연계) &gt; 시설물 위험도</t>
        </is>
      </c>
      <c r="C7" s="18" t="inlineStr">
        <is>
          <t>SFR-002
SFR-016</t>
        </is>
      </c>
      <c r="D7" s="16" t="inlineStr">
        <is>
          <t>중대재해처벌법 시행령 제10조
시설물안전법 제16조
시설물안전법 시행령 별표8
시설물안전법 제11조
시설물안전법 시행령 별표3</t>
        </is>
      </c>
      <c r="E7" s="18" t="inlineStr">
        <is>
          <t>시설물을 이용자 안전 관점에서 줄 세워 점검 우선순위를 정한다. 전 시설을 같은 주기로 보는 것은 인력상 불가능하다.</t>
        </is>
      </c>
    </row>
    <row r="8" ht="35" customHeight="1">
      <c r="A8" s="15" t="n"/>
      <c r="B8" s="20" t="inlineStr">
        <is>
          <t>시설물 (FMS 연계) &gt; FMS 연계</t>
        </is>
      </c>
      <c r="C8" s="18" t="inlineStr">
        <is>
          <t>SFR-002
SFR-016</t>
        </is>
      </c>
      <c r="D8" s="16" t="inlineStr">
        <is>
          <t>근거 없음</t>
        </is>
      </c>
      <c r="E8" s="18" t="inlineStr">
        <is>
          <t>시설물 자료를 받아 차이를 검토하고 반영한다. 연계 자체는 법령이 명한 의무가 아니라 대상 현행화의 수단이다.</t>
        </is>
      </c>
    </row>
    <row r="9" ht="35" customHeight="1">
      <c r="A9" s="15" t="n"/>
      <c r="B9" s="20" t="inlineStr">
        <is>
          <t>시설물 (FMS 연계) &gt; 연계 설정</t>
        </is>
      </c>
      <c r="C9" s="18" t="inlineStr">
        <is>
          <t>SFR-002</t>
        </is>
      </c>
      <c r="D9" s="16" t="inlineStr">
        <is>
          <t>근거 없음</t>
        </is>
      </c>
      <c r="E9" s="18" t="inlineStr">
        <is>
          <t>연계 인증·수신주기·필드 소유권을 정한다. 운영 중 상대 시스템이 바뀌어도 개발 없이 대응하기 위한 자리다.</t>
        </is>
      </c>
    </row>
    <row r="10" ht="102.5" customHeight="1">
      <c r="A10" s="10" t="inlineStr">
        <is>
          <t>안전보건관리체계</t>
        </is>
      </c>
      <c r="B10" s="19" t="inlineStr">
        <is>
          <t>중대산업·시민재해 계획 &gt; 경영방침</t>
        </is>
      </c>
      <c r="C10" s="13" t="inlineStr">
        <is>
          <t>SFR-005</t>
        </is>
      </c>
      <c r="D10" s="11" t="inlineStr">
        <is>
          <t>중대재해처벌법 시행령 제4조제1호</t>
        </is>
      </c>
      <c r="E10" s="13" t="inlineStr">
        <is>
          <t>경영책임자가 안전보건 목표와 경영방침을 세우고 전 부서에 알린 사실을 남긴다. 시행령이 첫 번째 의무로 든 항목이다. ※ 이 화면은 중대산업재해 축의 「목표·경영방침」(시행령 제4조제1호)이며, 중대시민재해 축의 「안전계획」(시행령 제10조제4호 — 공중이용시설·공중교통수단 대상, 연 1회 이상, 인력 확보·안전점검/정밀안전진단·보수/보강 포함)과는 다른 의무다.</t>
        </is>
      </c>
    </row>
    <row r="11" ht="102.5" customHeight="1">
      <c r="A11" s="10" t="n"/>
      <c r="B11" s="19" t="inlineStr">
        <is>
          <t>중대산업·시민재해 계획 &gt; 조직</t>
        </is>
      </c>
      <c r="C11" s="13" t="inlineStr">
        <is>
          <t>SFR-006
SFR-010</t>
        </is>
      </c>
      <c r="D11" s="11" t="inlineStr">
        <is>
          <t>중대재해처벌법 시행령 제4조제2호
중대재해처벌법 시행령 제4조제5호
중대재해처벌법 시행령 제4조제6호
산업안전보건법 제15조
산업안전보건법 제16조
산업안전보건법 제17조
산업안전보건법 제18조</t>
        </is>
      </c>
      <c r="E11" s="13" t="inlineStr">
        <is>
          <t>전담조직과 안전·보건관리자 배치를 관리한다. 누가 그 업무를 맡는지가 정해지지 않으면 나머지 의무의 주체가 없다.</t>
        </is>
      </c>
    </row>
    <row r="12" ht="75.5" customHeight="1">
      <c r="A12" s="10" t="n"/>
      <c r="B12" s="19" t="inlineStr">
        <is>
          <t>중대산업·시민재해 의무 이행점검 &gt; 이행점검</t>
        </is>
      </c>
      <c r="C12" s="13" t="inlineStr">
        <is>
          <t>SFR-014</t>
        </is>
      </c>
      <c r="D12" s="11" t="inlineStr">
        <is>
          <t>중대재해처벌법 제4조
중대재해처벌법 시행령 제5조
중대재해처벌법 제9조
중대재해처벌법 시행령 제11조</t>
        </is>
      </c>
      <c r="E12" s="13" t="inlineStr">
        <is>
          <t>중대산업재해와 중대시민재해로 나눠 의무 이행 여부를 부서별로 확인한다. 법정 최소 점검 주기가 축마다 다르다 — 중대산업재해는 반기 1회 이상(시행령 제5조제2항제1호·제3호), 중대시민재해는 연 1회 이상(시행령 제11조제2항제1호·제3호)이다.</t>
        </is>
      </c>
    </row>
    <row r="13" ht="75.5" customHeight="1">
      <c r="A13" s="10" t="n"/>
      <c r="B13" s="19" t="inlineStr">
        <is>
          <t>도급관리</t>
        </is>
      </c>
      <c r="C13" s="13" t="inlineStr">
        <is>
          <t>SFR-013</t>
        </is>
      </c>
      <c r="D13" s="11" t="inlineStr">
        <is>
          <t>중대재해처벌법 제5조
중대재해처벌법 시행령 제4조제9호
중대재해처벌법 시행령 제10조제8호
산업안전보건법 제63조
산업안전보건법 제64조</t>
        </is>
      </c>
      <c r="E13" s="13" t="inlineStr">
        <is>
          <t>도급·용역·위탁을 줄 때 수급인의 안전보건 확보 능력을 평가하고 점검한다. 중대재해처벌법은 제3자의 종사자에게도 확보의무를 지우되, 그 시설·장비·장소를 실질적으로 지배·운영·관리할 책임이 있는 경우로 한정한다.</t>
        </is>
      </c>
    </row>
    <row r="14" ht="102.5" customHeight="1">
      <c r="A14" s="15" t="inlineStr">
        <is>
          <t>위험성평가</t>
        </is>
      </c>
      <c r="B14" s="20" t="inlineStr">
        <is>
          <t>정기 위험성평가</t>
        </is>
      </c>
      <c r="C14" s="18" t="inlineStr">
        <is>
          <t>SFR-007
SFR-003</t>
        </is>
      </c>
      <c r="D14" s="16" t="inlineStr">
        <is>
          <t>중대재해처벌법 시행령 제4조제3호
산업안전보건법 제36조
산업안전보건법 시행규칙 제37조
산업안전보건법 시행규칙 제37조의2
산업안전보건법 시행규칙 제37조의3
산업안전보건법 시행규칙 제37조의4
위험성평가 지침 제15조</t>
        </is>
      </c>
      <c r="E14" s="18" t="inlineStr">
        <is>
          <t>부서마다 유해·위험요인을 찾아 위험성을 줄인다. 산업안전보건법이 사업주에게 직접 지운 의무다. 실시 시기는 시행규칙 제37조제2항이 정한다 — 최초평가는 최초로 작업을 시작하기 전까지, 정기평가는 최초평가를 실시한 연도의 다음 연도부터 매년 1회 이상이다. 2026-08-01 시행 개정으로 근로자 참여(제37조의2)·결과 공유(제37조의3)·기록 및 3년 보존(제37조의4)이 함께 걸린다.</t>
        </is>
      </c>
    </row>
    <row r="15" ht="102.5" customHeight="1">
      <c r="A15" s="15" t="n"/>
      <c r="B15" s="20" t="inlineStr">
        <is>
          <t>수시 위험성평가</t>
        </is>
      </c>
      <c r="C15" s="18" t="inlineStr">
        <is>
          <t>SFR-007
SFR-003</t>
        </is>
      </c>
      <c r="D15" s="16" t="inlineStr">
        <is>
          <t>중대재해처벌법 시행령 제4조제3호
산업안전보건법 제36조
산업안전보건법 시행규칙 제37조
산업안전보건법 시행규칙 제37조의2
산업안전보건법 시행규칙 제37조의3
산업안전보건법 시행규칙 제37조의4
위험성평가 지침 제15조</t>
        </is>
      </c>
      <c r="E15" s="18" t="inlineStr">
        <is>
          <t>사고·설비 변경처럼 사유가 생겼을 때 그 자리에서 평가한다. 시행규칙 제37조제2항제3호가 「기존 평가에서 파악되지 않았던 추가적인 유해·위험 요인이 발생할 우려가 있거나 중대산업사고 또는 산업재해가 발생한 경우 관련 작업을 시작하기 전까지」로 시기를 정한다. 근로자 참여·결과 공유·기록 보존은 정기평가와 같이 걸린다.</t>
        </is>
      </c>
    </row>
    <row r="16" ht="89" customHeight="1">
      <c r="A16" s="10" t="inlineStr">
        <is>
          <t>안전보건교육</t>
        </is>
      </c>
      <c r="B16" s="19" t="inlineStr">
        <is>
          <t>현업근로자 &gt; 정기교육</t>
        </is>
      </c>
      <c r="C16" s="13" t="inlineStr">
        <is>
          <t>SFR-008
SFR-004</t>
        </is>
      </c>
      <c r="D16" s="11" t="inlineStr">
        <is>
          <t>산업안전보건법 제29조
산업안전보건법 시행규칙 별표4
산업안전보건법 시행령 별표1제4호
중대재해처벌법 시행령 제5조</t>
        </is>
      </c>
      <c r="E16" s="13" t="inlineStr">
        <is>
          <t>현업업무 종사자에게 매반기 정해진 시간의 교육을 실시하고 이수를 기록한다. 시행규칙 별표4 제1호 가목 — 사무직 종사 근로자와 판매업무에 직접 종사하는 근로자는 매반기 6시간 이상, 그 밖의 근로자는 매반기 12시간 이상이다. 시행령 별표1 제4호가 공공행정을 적용 제외하면서 「현업업무에 종사하는 사람」만 그 제외에서 다시 뺐다.</t>
        </is>
      </c>
    </row>
    <row r="17" ht="62" customHeight="1">
      <c r="A17" s="10" t="n"/>
      <c r="B17" s="19" t="inlineStr">
        <is>
          <t>현업근로자 &gt; 채용시교육</t>
        </is>
      </c>
      <c r="C17" s="13" t="inlineStr">
        <is>
          <t>SFR-008
SFR-004</t>
        </is>
      </c>
      <c r="D17" s="11" t="inlineStr">
        <is>
          <t>산업안전보건법 제29조
산업안전보건법 시행규칙 별표4
산업안전보건법 시행령 별표1제4호
중대재해처벌법 시행령 제5조</t>
        </is>
      </c>
      <c r="E17" s="13" t="inlineStr">
        <is>
          <t>채용할 때 고용형태별로 정해진 시간의 교육을 한다. 일용·기간제까지 대상이라 채용 시점마다 판정이 필요하다.</t>
        </is>
      </c>
    </row>
    <row r="18" ht="89" customHeight="1">
      <c r="A18" s="10" t="n"/>
      <c r="B18" s="19" t="inlineStr">
        <is>
          <t>현업근로자 &gt; 기타 교육</t>
        </is>
      </c>
      <c r="C18" s="13" t="inlineStr">
        <is>
          <t>SFR-008
SFR-004</t>
        </is>
      </c>
      <c r="D18" s="11" t="inlineStr">
        <is>
          <t>산업안전보건법 제29조
산업안전보건법 제31조
산업안전보건법 시행규칙 별표4
산업안전보건법 시행규칙 별표5제1호라목
산업안전보건법 시행령 별표1제4호
중대재해처벌법 시행령 제5조</t>
        </is>
      </c>
      <c r="E18" s="13" t="inlineStr">
        <is>
          <t>작업내용 변경 시·특별교육 등 사유가 생겼을 때 하는 교육을 기록한다. 정기·채용시로는 담기지 않는 법정 교육이다.</t>
        </is>
      </c>
    </row>
    <row r="19" ht="48.5" customHeight="1">
      <c r="A19" s="10" t="n"/>
      <c r="B19" s="19" t="inlineStr">
        <is>
          <t>관리감독자 &gt; 정기교육</t>
        </is>
      </c>
      <c r="C19" s="13" t="inlineStr">
        <is>
          <t>SFR-008
SFR-004</t>
        </is>
      </c>
      <c r="D19" s="11" t="inlineStr">
        <is>
          <t>산업안전보건법 제29조
산업안전보건법 시행규칙 별표4
산업안전보건법 시행령 별표1제4호</t>
        </is>
      </c>
      <c r="E19" s="13" t="inlineStr">
        <is>
          <t>관리감독자에게 연간 16시간 이상의 정기교육을 실시하고 이수를 기록한다. 시행규칙 별표4 제1호의2 가목이 정한 시간이다.</t>
        </is>
      </c>
    </row>
    <row r="20" ht="62" customHeight="1">
      <c r="A20" s="10" t="n"/>
      <c r="B20" s="19" t="inlineStr">
        <is>
          <t>관리감독자 &gt; 채용시교육</t>
        </is>
      </c>
      <c r="C20" s="13" t="inlineStr">
        <is>
          <t>SFR-008
SFR-004</t>
        </is>
      </c>
      <c r="D20" s="11" t="inlineStr">
        <is>
          <t>산업안전보건법 제29조
산업안전보건법 시행규칙 별표4
산업안전보건법 시행령 별표1제4호</t>
        </is>
      </c>
      <c r="E20" s="13" t="inlineStr">
        <is>
          <t>관리감독자로 지정될 때 8시간 이상의 교육을 한다. 시행규칙 별표4 제1호의2 나목은 근로자 채용 시 교육(제1호 나목 1·4·8시간)과 달리 고용형태 구분 없이 8시간 단일이다.</t>
        </is>
      </c>
    </row>
    <row r="21" ht="62" customHeight="1">
      <c r="A21" s="10" t="n"/>
      <c r="B21" s="19" t="inlineStr">
        <is>
          <t>관리감독자 &gt; 기타 교육</t>
        </is>
      </c>
      <c r="C21" s="13" t="inlineStr">
        <is>
          <t>SFR-008
SFR-004</t>
        </is>
      </c>
      <c r="D21" s="11" t="inlineStr">
        <is>
          <t>산업안전보건법 제29조
산업안전보건법 시행규칙 별표4
산업안전보건법 시행규칙 별표5제1호라목
산업안전보건법 시행령 별표1제4호</t>
        </is>
      </c>
      <c r="E21" s="13" t="inlineStr">
        <is>
          <t>작업내용 변경 시·특별교육 등 사유가 생겼을 때 하는 교육을 기록한다. 시행규칙 별표4 제1호의2 — 작업내용 변경 시 2시간 이상, 특별교육 16시간 이상(단기간·간헐적 작업은 2시간)이며 근로자용과 달리 고용형태 구분이 없다.</t>
        </is>
      </c>
    </row>
    <row r="22" ht="62" customHeight="1">
      <c r="A22" s="10" t="n"/>
      <c r="B22" s="19" t="inlineStr">
        <is>
          <t>교육 현황·관리 &gt; 이수현황</t>
        </is>
      </c>
      <c r="C22" s="13" t="inlineStr">
        <is>
          <t>SFR-008
SFR-004</t>
        </is>
      </c>
      <c r="D22" s="11" t="inlineStr">
        <is>
          <t>산업안전보건법 제29조
산업안전보건법 시행규칙 별표4
산업안전보건법 시행령 별표1제4호
중대재해처벌법 시행령 제5조</t>
        </is>
      </c>
      <c r="E22" s="13" t="inlineStr">
        <is>
          <t>부서별·대상자별 이수 여부와 미달을 본다. 실시했다는 사실보다 「누가 아직 안 받았나」가 관리 대상이다.</t>
        </is>
      </c>
    </row>
    <row r="23" ht="35" customHeight="1">
      <c r="A23" s="10" t="n"/>
      <c r="B23" s="19" t="inlineStr">
        <is>
          <t>교육 현황·관리 &gt; 근로자 명단 관리</t>
        </is>
      </c>
      <c r="C23" s="13" t="inlineStr">
        <is>
          <t>SFR-008</t>
        </is>
      </c>
      <c r="D23" s="11" t="inlineStr">
        <is>
          <t>산업안전보건법 제29조
산업안전보건법 시행령 별표1제4호</t>
        </is>
      </c>
      <c r="E23" s="13" t="inlineStr">
        <is>
          <t>교육 대상자 명단과 구분(현업·관리감독자)·고용형태를 관리한다. 명단이 곧 이수율의 분모다.</t>
        </is>
      </c>
    </row>
    <row r="24" ht="35" customHeight="1">
      <c r="A24" s="10" t="n"/>
      <c r="B24" s="19" t="inlineStr">
        <is>
          <t>교육 현황·관리 &gt; 결재 이력</t>
        </is>
      </c>
      <c r="C24" s="13" t="inlineStr">
        <is>
          <t>—</t>
        </is>
      </c>
      <c r="D24" s="11" t="inlineStr">
        <is>
          <t>근거 없음</t>
        </is>
      </c>
      <c r="E24" s="13" t="inlineStr">
        <is>
          <t>교육 실시 결과 공문을 온나라로 올린 이력을 조회한다. 결재 자체는 온나라가 하므로 이 화면은 조회 전용이다.</t>
        </is>
      </c>
    </row>
    <row r="25" ht="102.5" customHeight="1">
      <c r="A25" s="15" t="inlineStr">
        <is>
          <t>작업환경·건강</t>
        </is>
      </c>
      <c r="B25" s="20" t="inlineStr">
        <is>
          <t>작업환경측정</t>
        </is>
      </c>
      <c r="C25" s="18" t="inlineStr">
        <is>
          <t>—</t>
        </is>
      </c>
      <c r="D25" s="16" t="inlineStr">
        <is>
          <t>산업안전보건법 제125조
산업안전보건법 시행규칙 제190조</t>
        </is>
      </c>
      <c r="E25" s="18" t="inlineStr">
        <is>
          <t>유해인자 노출 작업장을 정기 측정하고 결과에 따라 개선한다. 시행규칙 제190조 — 기본은 반기 1회 이상이고, 측정치가 노출기준을 초과하는 등의 경우 3개월에 1회로 짧아지며(제1항 단서), 최근 1년간 공정 변화가 없고 최근 2회 연속 소음 85데시벨 미만 또는 그 밖의 인자가 노출기준 미만이면 연 1회로 완화할 수 있다(제2항 · 고용노동부장관 고시 물질 취급공정 제외).</t>
        </is>
      </c>
    </row>
    <row r="26" ht="89" customHeight="1">
      <c r="A26" s="15" t="n"/>
      <c r="B26" s="20" t="inlineStr">
        <is>
          <t>건강검진 (일반·특수)</t>
        </is>
      </c>
      <c r="C26" s="18" t="inlineStr">
        <is>
          <t>—</t>
        </is>
      </c>
      <c r="D26" s="16" t="inlineStr">
        <is>
          <t>산업안전보건법 제129조
산업안전보건법 시행규칙 제197조
산업안전보건법 제130조
산업안전보건법 시행규칙 제202조
산업안전보건법 시행규칙 별표23</t>
        </is>
      </c>
      <c r="E26" s="18" t="inlineStr">
        <is>
          <t>일반·특수 건강진단을 실시하고 사후관리한다. 근거가 종류마다 다르다 — 일반은 법 제129조와 시행규칙 제197조(사무직 2년 1회, 그 밖 1년 1회), 특수는 법 제130조제1항과 시행규칙 제202조·별표23(유해인자별 시기·주기), 배치전은 법 제130조제2항, 수시는 법 제130조제3항이다. 개인 건강정보라 열람 범위를 따로 둔다.</t>
        </is>
      </c>
    </row>
    <row r="27" ht="48.5" customHeight="1">
      <c r="A27" s="10" t="inlineStr">
        <is>
          <t>의견청취</t>
        </is>
      </c>
      <c r="B27" s="19" t="inlineStr">
        <is>
          <t>의견청취·건의함</t>
        </is>
      </c>
      <c r="C27" s="13" t="inlineStr">
        <is>
          <t>SFR-011
SFR-019</t>
        </is>
      </c>
      <c r="D27" s="11" t="inlineStr">
        <is>
          <t>중대재해처벌법 시행령 제4조제7호</t>
        </is>
      </c>
      <c r="E27" s="13" t="inlineStr">
        <is>
          <t>종사자가 안전보건에 관한 의견을 직접 올린다. 시행령은 의견을 듣는 절차 마련과 개선방안 이행을 의무로 두고, 그 이행 여부를 반기 1회 이상 점검하도록 한다.</t>
        </is>
      </c>
    </row>
    <row r="28" ht="62" customHeight="1">
      <c r="A28" s="10" t="n"/>
      <c r="B28" s="19" t="inlineStr">
        <is>
          <t>산업안전보건위원회</t>
        </is>
      </c>
      <c r="C28" s="13" t="inlineStr">
        <is>
          <t>SFR-011</t>
        </is>
      </c>
      <c r="D28" s="11" t="inlineStr">
        <is>
          <t>중대재해처벌법 시행령 제4조제7호
산업안전보건법 제24조
산업안전보건법 시행령 제37조
산업안전보건법 제164조제1항제2호</t>
        </is>
      </c>
      <c r="E28" s="13" t="inlineStr">
        <is>
          <t>노사가 함께 심의·의결하는 위원회를 분기마다 운영하고 회의록을 남긴다.</t>
        </is>
      </c>
    </row>
    <row r="29" ht="35" customHeight="1">
      <c r="A29" s="10" t="n"/>
      <c r="B29" s="19" t="inlineStr">
        <is>
          <t>협의체·점검표</t>
        </is>
      </c>
      <c r="C29" s="13" t="inlineStr">
        <is>
          <t>SFR-011</t>
        </is>
      </c>
      <c r="D29" s="11" t="inlineStr">
        <is>
          <t>중대재해처벌법 시행령 제4조제7호
산업안전보건법 제64조</t>
        </is>
      </c>
      <c r="E29" s="13" t="inlineStr">
        <is>
          <t>도급 사업장의 안전보건 협의체를 운영하고 점검 결과를 남긴다.</t>
        </is>
      </c>
    </row>
    <row r="30" ht="35" customHeight="1">
      <c r="A30" s="15" t="inlineStr">
        <is>
          <t>인력·예산</t>
        </is>
      </c>
      <c r="B30" s="20" t="inlineStr">
        <is>
          <t>인력 평가 &gt; 인력 평가</t>
        </is>
      </c>
      <c r="C30" s="18" t="inlineStr">
        <is>
          <t>SFR-009</t>
        </is>
      </c>
      <c r="D30" s="16" t="inlineStr">
        <is>
          <t>중대재해처벌법 시행령 제4조제5호</t>
        </is>
      </c>
      <c r="E30" s="18" t="inlineStr">
        <is>
          <t>안전보건관리책임자·관리감독자가 업무를 제대로 수행했는지 반기마다 평가한다. 평가 기준 마련과 실시가 시행령 의무다.</t>
        </is>
      </c>
    </row>
    <row r="31" ht="35" customHeight="1">
      <c r="A31" s="15" t="n"/>
      <c r="B31" s="20" t="inlineStr">
        <is>
          <t>인력 평가 &gt; 평가 현황</t>
        </is>
      </c>
      <c r="C31" s="18" t="inlineStr">
        <is>
          <t>SFR-009</t>
        </is>
      </c>
      <c r="D31" s="16" t="inlineStr">
        <is>
          <t>중대재해처벌법 시행령 제4조제5호</t>
        </is>
      </c>
      <c r="E31" s="18" t="inlineStr">
        <is>
          <t>반기 평가의 진행과 결과를 모아 본다. 미실시가 곧 의무 미이행이라 진행 상황이 관리 대상이다.</t>
        </is>
      </c>
    </row>
    <row r="32" ht="35" customHeight="1">
      <c r="A32" s="15" t="n"/>
      <c r="B32" s="20" t="inlineStr">
        <is>
          <t>인력 평가 &gt; 평가 설정</t>
        </is>
      </c>
      <c r="C32" s="18" t="inlineStr">
        <is>
          <t>SFR-009</t>
        </is>
      </c>
      <c r="D32" s="16" t="inlineStr">
        <is>
          <t>중대재해처벌법 시행령 제4조제5호</t>
        </is>
      </c>
      <c r="E32" s="18" t="inlineStr">
        <is>
          <t>평가 항목과 역할별 배점을 정한다. 기준을 시스템 밖에서 관리하면 평가마다 기준이 달라진다.</t>
        </is>
      </c>
    </row>
    <row r="33" ht="35" customHeight="1">
      <c r="A33" s="15" t="n"/>
      <c r="B33" s="20" t="inlineStr">
        <is>
          <t>예산 관리 &gt; 예산 총괄표</t>
        </is>
      </c>
      <c r="C33" s="18" t="inlineStr">
        <is>
          <t>SFR-008</t>
        </is>
      </c>
      <c r="D33" s="16" t="inlineStr">
        <is>
          <t>중대재해처벌법 시행령 제4조제4호
중대재해처벌법 시행령 제10조제2호</t>
        </is>
      </c>
      <c r="E33" s="18" t="inlineStr">
        <is>
          <t>재해예방에 필요한 예산을 편성하고 집행률을 확인한다. 편성만이 아니라 집행까지가 시행령 의무다.</t>
        </is>
      </c>
    </row>
    <row r="34" ht="48.5" customHeight="1">
      <c r="A34" s="15" t="n"/>
      <c r="B34" s="20" t="inlineStr">
        <is>
          <t>예산 관리 &gt; 예산 기준 설정</t>
        </is>
      </c>
      <c r="C34" s="18" t="inlineStr">
        <is>
          <t>SFR-008</t>
        </is>
      </c>
      <c r="D34" s="16" t="inlineStr">
        <is>
          <t>중대재해처벌법 시행령 제4조제4호
중대재해처벌법 시행령 제10조제2호</t>
        </is>
      </c>
      <c r="E34" s="18" t="inlineStr">
        <is>
          <t>어떤 항목을 안전보건 예산으로 볼지 기준을 정한다. 기준이 없으면 부서마다 다른 것을 넣어 집행률이 비교되지 않는다.</t>
        </is>
      </c>
    </row>
    <row r="35" ht="75.5" customHeight="1">
      <c r="A35" s="10" t="inlineStr">
        <is>
          <t>업무 관리</t>
        </is>
      </c>
      <c r="B35" s="19" t="inlineStr">
        <is>
          <t>이행 관리</t>
        </is>
      </c>
      <c r="C35" s="13" t="inlineStr">
        <is>
          <t>SFR-014
SFR-004</t>
        </is>
      </c>
      <c r="D35" s="11" t="inlineStr">
        <is>
          <t>중대재해처벌법 시행령 제13조
산업안전보건법 제164조</t>
        </is>
      </c>
      <c r="E35" s="13" t="inlineStr">
        <is>
          <t>법으로 해야 하는 일을 군·부서·관리대상 세 계층으로 나눠, 회차마다 증빙이 갖춰졌는지 본다. 의무 이행 점검의 실무 축이다. 여기 쌓이는 이행 기록은 중대재해처벌법 시행령 제13조에 따라 서면(전자문서 포함)으로 작성해 이행한 날부터 5년간 보관한다.</t>
        </is>
      </c>
    </row>
    <row r="36" ht="62" customHeight="1">
      <c r="A36" s="10" t="n"/>
      <c r="B36" s="19" t="inlineStr">
        <is>
          <t>문서 목록</t>
        </is>
      </c>
      <c r="C36" s="13" t="inlineStr">
        <is>
          <t>SFR-014</t>
        </is>
      </c>
      <c r="D36" s="11" t="inlineStr">
        <is>
          <t>중대재해처벌법 시행령 제13조
산업안전보건법 제164조</t>
        </is>
      </c>
      <c r="E36" s="13" t="inlineStr">
        <is>
          <t>문서 한 건이 어떤 할 일의 증빙인지와 함께 찾는다. 문서를 찾는 것과 의무가 채워졌는지 보는 것은 다른 질문이다. 보존 기간은 중대재해처벌법 시행령 제13조에 따라 이행한 날부터 5년이다.</t>
        </is>
      </c>
    </row>
    <row r="37" ht="89" customHeight="1">
      <c r="A37" s="10" t="n"/>
      <c r="B37" s="19" t="inlineStr">
        <is>
          <t>기준문서함</t>
        </is>
      </c>
      <c r="C37" s="13" t="inlineStr">
        <is>
          <t>SFR-012</t>
        </is>
      </c>
      <c r="D37" s="11" t="inlineStr">
        <is>
          <t>중대재해처벌법 시행령 제10조제7호
중대재해처벌법 시행령 제13조</t>
        </is>
      </c>
      <c r="E37" s="13" t="inlineStr">
        <is>
          <t>매뉴얼·업무처리절차의 제정·개정 원문과 버전을 보관한다. 중대재해처벌법 시행령 제10조제7호가 유해·위험요인의 확인·점검, 발견 시 신고·조치요구·이용 제한·보수보강, 중대시민재해 발생 시 긴급구호조치·긴급안전점검·신고·원인조사 개선조치, 제1종시설물 대피훈련을 담은 업무처리절차를 마련해 이행하도록 한다.</t>
        </is>
      </c>
    </row>
    <row r="38" ht="35" customHeight="1">
      <c r="A38" s="15" t="inlineStr">
        <is>
          <t>통계·보고</t>
        </is>
      </c>
      <c r="B38" s="20" t="inlineStr">
        <is>
          <t>현황 통계</t>
        </is>
      </c>
      <c r="C38" s="18" t="inlineStr">
        <is>
          <t>SFR-018
SFR-019</t>
        </is>
      </c>
      <c r="D38" s="16" t="inlineStr">
        <is>
          <t>근거 없음</t>
        </is>
      </c>
      <c r="E38" s="18" t="inlineStr">
        <is>
          <t>이행 현황을 부서·기간별로 집계해 보여주고 내려받는다. 제안요청서가 시각화와 엑셀 다운로드를 함께 요구했다.</t>
        </is>
      </c>
    </row>
    <row r="39" ht="35" customHeight="1">
      <c r="A39" s="15" t="n"/>
      <c r="B39" s="20" t="inlineStr">
        <is>
          <t>보고서·제증명</t>
        </is>
      </c>
      <c r="C39" s="18" t="inlineStr">
        <is>
          <t>SFR-021</t>
        </is>
      </c>
      <c r="D39" s="16" t="inlineStr">
        <is>
          <t>근거 없음</t>
        </is>
      </c>
      <c r="E39" s="18" t="inlineStr">
        <is>
          <t>보고서와 증명서를 출력한다. 위조 방지 표시가 요구사항에 포함된다.</t>
        </is>
      </c>
    </row>
    <row r="40" ht="35" customHeight="1">
      <c r="A40" s="15" t="n"/>
      <c r="B40" s="20" t="inlineStr">
        <is>
          <t>정보센터</t>
        </is>
      </c>
      <c r="C40" s="18" t="inlineStr">
        <is>
          <t>—</t>
        </is>
      </c>
      <c r="D40" s="16" t="inlineStr">
        <is>
          <t>근거 없음</t>
        </is>
      </c>
      <c r="E40" s="18" t="inlineStr">
        <is>
          <t>공지·자료실·우수사례를 공유한다. 법정 의무는 아니고 운영 편의를 위한 자리다.</t>
        </is>
      </c>
    </row>
    <row r="41" ht="35" customHeight="1">
      <c r="A41" s="10" t="inlineStr">
        <is>
          <t>시스템 관리</t>
        </is>
      </c>
      <c r="B41" s="19" t="inlineStr">
        <is>
          <t>사용자·권한 &gt; 사용자 관리</t>
        </is>
      </c>
      <c r="C41" s="13" t="inlineStr">
        <is>
          <t>SFR-015</t>
        </is>
      </c>
      <c r="D41" s="11" t="inlineStr">
        <is>
          <t>근거 없음</t>
        </is>
      </c>
      <c r="E41" s="13" t="inlineStr">
        <is>
          <t>행정포털 계정·조직과 연계해 사용자를 관리한다. 통합 인증 요구사항의 화면이다.</t>
        </is>
      </c>
    </row>
    <row r="42" ht="35" customHeight="1">
      <c r="A42" s="10" t="n"/>
      <c r="B42" s="19" t="inlineStr">
        <is>
          <t>사용자·권한 &gt; 권한 관리</t>
        </is>
      </c>
      <c r="C42" s="13" t="inlineStr">
        <is>
          <t>SFR-015
SFR-001</t>
        </is>
      </c>
      <c r="D42" s="11" t="inlineStr">
        <is>
          <t>근거 없음</t>
        </is>
      </c>
      <c r="E42" s="13" t="inlineStr">
        <is>
          <t>권한 등급과 구성원을 정한다. 「권한을 부여받지 않은 메뉴에 접근할 수 없어야 한다」는 공통 요구사항의 절반이다.</t>
        </is>
      </c>
    </row>
    <row r="43" ht="35" customHeight="1">
      <c r="A43" s="10" t="n"/>
      <c r="B43" s="19" t="inlineStr">
        <is>
          <t>사용자·권한 &gt; 메뉴 관리</t>
        </is>
      </c>
      <c r="C43" s="13" t="inlineStr">
        <is>
          <t>SFR-001
SFR-015</t>
        </is>
      </c>
      <c r="D43" s="11" t="inlineStr">
        <is>
          <t>근거 없음</t>
        </is>
      </c>
      <c r="E43" s="13" t="inlineStr">
        <is>
          <t>메뉴별 보기·수정 대상을 등급·부서·개인으로 지정한다. 위 요구사항의 나머지 절반이다.</t>
        </is>
      </c>
    </row>
    <row r="44" ht="35" customHeight="1">
      <c r="A44" s="10" t="n"/>
      <c r="B44" s="19" t="inlineStr">
        <is>
          <t>기준정보 &gt; 사업장 관리</t>
        </is>
      </c>
      <c r="C44" s="13" t="inlineStr">
        <is>
          <t>SFR-002</t>
        </is>
      </c>
      <c r="D44" s="11" t="inlineStr">
        <is>
          <t>근거 없음</t>
        </is>
      </c>
      <c r="E44" s="13" t="inlineStr">
        <is>
          <t>사업장 마스터를 관리한다. 작업환경측정·건강검진의 대상 판정이 이 값에서 나온다.</t>
        </is>
      </c>
    </row>
    <row r="45" ht="35" customHeight="1">
      <c r="A45" s="10" t="n"/>
      <c r="B45" s="19" t="inlineStr">
        <is>
          <t>기준정보 &gt; 프리셋 양식 관리</t>
        </is>
      </c>
      <c r="C45" s="13" t="inlineStr">
        <is>
          <t>—</t>
        </is>
      </c>
      <c r="D45" s="11" t="inlineStr">
        <is>
          <t>근거 없음</t>
        </is>
      </c>
      <c r="E45" s="13" t="inlineStr">
        <is>
          <t>전자문서 양식을 관리자가 만들어 둔다. 양식이 바뀔 때마다 개발하지 않기 위한 자리다.</t>
        </is>
      </c>
    </row>
    <row r="46" ht="35" customHeight="1">
      <c r="A46" s="10" t="n"/>
      <c r="B46" s="19" t="inlineStr">
        <is>
          <t>기준정보 &gt; 법령 관리</t>
        </is>
      </c>
      <c r="C46" s="13" t="inlineStr">
        <is>
          <t>—</t>
        </is>
      </c>
      <c r="D46" s="11" t="inlineStr">
        <is>
          <t>근거 없음</t>
        </is>
      </c>
      <c r="E46" s="13" t="inlineStr">
        <is>
          <t>법령·조문과 화면별 근거 매핑을 관리한다. 조문이 개정되면 어느 화면이 영향을 받는지 여기서 본다.</t>
        </is>
      </c>
    </row>
    <row r="47" ht="35" customHeight="1">
      <c r="A47" s="10" t="n"/>
      <c r="B47" s="19" t="inlineStr">
        <is>
          <t>연계·알림 &gt; 연계 관리</t>
        </is>
      </c>
      <c r="C47" s="13" t="inlineStr">
        <is>
          <t>—</t>
        </is>
      </c>
      <c r="D47" s="11" t="inlineStr">
        <is>
          <t>근거 없음</t>
        </is>
      </c>
      <c r="E47" s="13" t="inlineStr">
        <is>
          <t>온나라·시설물관리시스템·행정포털·법제처 연계 상태를 본다. 연계가 끊긴 것을 화면이 성공으로 가장하지 않게 한다.</t>
        </is>
      </c>
    </row>
    <row r="48" ht="35" customHeight="1">
      <c r="A48" s="10" t="n"/>
      <c r="B48" s="19" t="inlineStr">
        <is>
          <t>연계·알림 &gt; 알림 관리</t>
        </is>
      </c>
      <c r="C48" s="13" t="inlineStr">
        <is>
          <t>SFR-017</t>
        </is>
      </c>
      <c r="D48" s="11" t="inlineStr">
        <is>
          <t>근거 없음</t>
        </is>
      </c>
      <c r="E48" s="13" t="inlineStr">
        <is>
          <t>알림 발송과 이력을 관리한다. 통합알림체계 요구사항의 화면이다.</t>
        </is>
      </c>
    </row>
  </sheetData>
  <autoFilter ref="A1:E4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2026-09-01T08:50:43Z</dcterms:created>
  <dcterms:modified xmlns:dcterms="http://purl.org/dc/terms/" xmlns:xsi="http://www.w3.org/2001/XMLSchema-instance" xsi:type="dcterms:W3CDTF">2026-09-01T08:50:43Z</dcterms:modified>
</cp:coreProperties>
</file>