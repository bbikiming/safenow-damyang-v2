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daonplace/Documents/업무/담양 중대재해/프로토타입-v2/docs/"/>
    </mc:Choice>
  </mc:AlternateContent>
  <xr:revisionPtr revIDLastSave="0" documentId="13_ncr:1_{6629DFF6-F8FA-1044-BFD3-C6A55B0F0125}" xr6:coauthVersionLast="47" xr6:coauthVersionMax="47" xr10:uidLastSave="{00000000-0000-0000-0000-000000000000}"/>
  <bookViews>
    <workbookView xWindow="0" yWindow="600" windowWidth="38400" windowHeight="19420" activeTab="2" xr2:uid="{00000000-000D-0000-FFFF-FFFF00000000}"/>
  </bookViews>
  <sheets>
    <sheet name="읽는 법" sheetId="1" r:id="rId1"/>
    <sheet name="메뉴별근거" sheetId="2" r:id="rId2"/>
    <sheet name="요구사항대조" sheetId="3" r:id="rId3"/>
    <sheet name="법령조문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1" l="1"/>
  <c r="C26" i="1"/>
  <c r="C25" i="1"/>
  <c r="C24" i="1"/>
</calcChain>
</file>

<file path=xl/sharedStrings.xml><?xml version="1.0" encoding="utf-8"?>
<sst xmlns="http://schemas.openxmlformats.org/spreadsheetml/2006/main" count="637" uniqueCount="359">
  <si>
    <t>담양군 중대재해예방 통합관리시스템 — 메뉴 구성 근거</t>
  </si>
  <si>
    <t>각 메뉴가 어떤 제안요청서 요구사항과 법령에 따라 존재하는지 정리한 표입니다.</t>
  </si>
  <si>
    <t>시트 구성</t>
  </si>
  <si>
    <t>① 읽는 법  ② 메뉴별 근거(전 47개 화면)  ③ 요구사항 대조(SFR 21건이 어느 메뉴로 답해지는가)  ④ 법령 조문 목록</t>
  </si>
  <si>
    <t>메뉴 구조</t>
  </si>
  <si>
    <t>대메뉴 11개 · 화면 47개입니다. 대메뉴는 제안요청서 §2 「기능 모듈 기준 분류」 7축 안에서만 세웠습니다.</t>
  </si>
  <si>
    <t>법령 근거 표기</t>
  </si>
  <si>
    <t>「근거 없음」은 빠뜨린 것이 아니라 확인한 결과입니다. 그 화면이 법령이 명한 의무의 직접 이행 수단이 아닐 때 그렇게 적습니다.</t>
  </si>
  <si>
    <t>예) 연계·알림·권한 같은 공통 기반 화면은 시스템을 돌리는 수단이지 그 자체가 법정 의무는 아닙니다.</t>
  </si>
  <si>
    <t>「관련이 있다」가 아니라 「그 의무를 이 화면에서 이행한다」일 때만 조문을 붙였습니다.</t>
  </si>
  <si>
    <t>요구사항 표기</t>
  </si>
  <si>
    <t>대메뉴 축은 그 대메뉴 전체가 답하는 요구사항이고, 화면 요구사항은 그 화면 하나에 걸린 것입니다.</t>
  </si>
  <si>
    <t>화면 요구사항이 비어 있어도 대메뉴 축으로 덮이는 경우가 있습니다(④ 요구사항 대조 시트에서 확인).</t>
  </si>
  <si>
    <t>자료 출처</t>
  </si>
  <si>
    <t>메뉴 구조·법령 매핑·요구사항명은 시스템과 제안요청서에서 그대로 뽑았습니다. 손으로 옮겨 적지 않았습니다.</t>
  </si>
  <si>
    <t>법령 조문은 법제처 국가법령정보센터 공개 자료 기준입니다(수집일 2026-08-13).</t>
  </si>
  <si>
    <t>「왜 필요한가」 열만 설명을 위해 작성한 문장이며, 위 세 값을 벗어나지 않게 적었습니다.</t>
  </si>
  <si>
    <t>확인 부탁드립니다</t>
  </si>
  <si>
    <t>① 대메뉴 이름이 담양군에서 쓰시는 말과 맞는지</t>
  </si>
  <si>
    <t>② 「근거 없음」으로 둔 화면 중 담양군 조례·지침에 따라 근거가 있는 것이 있는지</t>
  </si>
  <si>
    <t>③ 빠진 업무가 있는지 — 요구사항 대조 시트에서 어느 요구사항이 어느 메뉴로 답해지는지 보실 수 있습니다</t>
  </si>
  <si>
    <t>요약</t>
  </si>
  <si>
    <t>대메뉴</t>
  </si>
  <si>
    <t>화면</t>
  </si>
  <si>
    <t>법령 근거가 있는 화면</t>
  </si>
  <si>
    <t>근거 없음으로 확인한 화면</t>
  </si>
  <si>
    <t>구분</t>
  </si>
  <si>
    <t>대메뉴가 답하는 요구사항</t>
  </si>
  <si>
    <t>이 화면의 요구사항</t>
  </si>
  <si>
    <t>요구사항 이름</t>
  </si>
  <si>
    <t>법령 근거</t>
  </si>
  <si>
    <t>왜 필요한가</t>
  </si>
  <si>
    <t>대시보드</t>
  </si>
  <si>
    <t>—</t>
  </si>
  <si>
    <t>통합 현황</t>
  </si>
  <si>
    <t>SFR-020 · 017 현황·대시보드</t>
  </si>
  <si>
    <t>SFR-020</t>
  </si>
  <si>
    <t>대시보드 개발</t>
  </si>
  <si>
    <t>· 중대재해 처벌 등에 관한 법률 제4조 — 사업주와 경영책임자등의 안전 및 보건 확보의무
· 중대재해 처벌 등에 관한 법률 시행령 제4조제3호 — 안전보건관리체계의 구축 및 이행 조치 — 유해ㆍ위험요인 확인ㆍ개선
· 중대재해 처벌 등에 관한 법률 시행령 제5조 — 안전ㆍ보건 관계 법령에 따른 의무이행에 필요한 관리상의 조치</t>
  </si>
  <si>
    <t>군수·과장·담당자가 각자 자기 층위에서 지금 무엇이 밀려 있는지 한 화면에서 본다. 제안요청서가 요구한 시설현황·예방활동·시기도래·진행현황을 한 자리에 모은 첫 화면이다.</t>
  </si>
  <si>
    <t>내 할일</t>
  </si>
  <si>
    <t>근거 없음</t>
  </si>
  <si>
    <t>여러 업무(위험성평가·교육·개선조치·문서)에 흩어진 내 몫을 한 목록으로 모은다. 도메인마다 화면을 돌며 확인하지 않게 하는 자리라 법령이 직접 명한 화면은 아니다.</t>
  </si>
  <si>
    <t>기본정보</t>
  </si>
  <si>
    <t>관리대상</t>
  </si>
  <si>
    <t>관리대상 현황</t>
  </si>
  <si>
    <t>SFR-002 · 016 대상/시설 정보 관리</t>
  </si>
  <si>
    <t>SFR-002</t>
  </si>
  <si>
    <t>중대재해 관리 대상 현황정보 관리</t>
  </si>
  <si>
    <t>· 중대재해 처벌 등에 관한 법률 제4조 — 사업주와 경영책임자등의 안전 및 보건 확보의무
· 중대재해 처벌 등에 관한 법률 제9조 — 사업주와 경영책임자등의 안전 및 보건 확보의무 — 중대시민재해
· 시설물의 안전 및 유지관리에 관한 특별법 제7조 — 시설물의 종류
· 중대재해 처벌 등에 관한 법률 시행령 별표2 — 법 제2조제4호가목의 시설 중 공중이용시설 (제3조제1호 관련)
· 중대재해 처벌 등에 관한 법률 시행령 별표3 — 법 제2조제4호나목의 시설물 중 공중이용시설 (제3조제2호 관련)</t>
  </si>
  <si>
    <t>중대재해처벌법이 말하는 「실질적으로 지배·운영·관리하는」 대상이 무엇인지 확정하는 자리다. 이 목록이 서야 위험성평가·점검·교육의 대상이 정해진다.</t>
  </si>
  <si>
    <t>데이터 일괄등록</t>
  </si>
  <si>
    <t>SFR-016</t>
  </si>
  <si>
    <t>데이터 등록 서식 제공</t>
  </si>
  <si>
    <t>· 중대재해 처벌 등에 관한 법률 제4조 — 사업주와 경영책임자등의 안전 및 보건 확보의무</t>
  </si>
  <si>
    <t>관리대상·근로자 등을 엑셀 서식으로 한 번에 올린다. 건별 입력으로는 초기 구축과 연간 갱신을 감당할 수 없다.</t>
  </si>
  <si>
    <t>시설물 (FMS 연계)</t>
  </si>
  <si>
    <t>시설물 대장</t>
  </si>
  <si>
    <t>· 중대재해 처벌 등에 관한 법률 제9조 — 사업주와 경영책임자등의 안전 및 보건 확보의무 — 중대시민재해
· 중대재해 처벌 등에 관한 법률 시행령 제10조 — 공중이용시설ㆍ공중교통수단 관련 안전보건관리체계 구축 및 이행에 관한 조치
· 시설물의 안전 및 유지관리에 관한 특별법 제7조 — 시설물의 종류</t>
  </si>
  <si>
    <t>중대시민재해 대상인 공중이용시설을 시설물관리시스템에서 받아 현행화한다. 담양군이 따로 관리하면 원본과 어긋난다.</t>
  </si>
  <si>
    <t>시설물 위험도</t>
  </si>
  <si>
    <t>· 중대재해 처벌 등에 관한 법률 시행령 제10조 — 공중이용시설ㆍ공중교통수단 관련 안전보건관리체계 구축 및 이행에 관한 조치
· 시설물의 안전 및 유지관리에 관한 특별법 제16조 — 시설물의 안전등급 지정 등
· 시설물의 안전 및 유지관리에 관한 특별법 시행령 별표8 — 시설물의 안전등급 기준 (제12조 관련)
· 시설물의 안전 및 유지관리에 관한 특별법 제11조 — 안전점검의 실시
· 시설물의 안전 및 유지관리에 관한 특별법 시행령 별표3 — 안전점검, 정밀안전진단 및 성능평가의 실시시기 (발췌 — 표 + 비고 1~3)</t>
  </si>
  <si>
    <t>시설물을 이용자 안전 관점에서 줄 세워 점검 우선순위를 정한다. 전 시설을 같은 주기로 보는 것은 인력상 불가능하다.</t>
  </si>
  <si>
    <t>FMS 연계</t>
  </si>
  <si>
    <t>시설물 자료를 받아 차이를 검토하고 반영한다. 연계 자체는 법령이 명한 의무가 아니라 대상 현행화의 수단이다.</t>
  </si>
  <si>
    <t>연계 설정</t>
  </si>
  <si>
    <t>연계 인증·수신주기·필드 소유권을 정한다. 운영 중 상대 시스템이 바뀌어도 개발 없이 대응하기 위한 자리다.</t>
  </si>
  <si>
    <t>안전보건관리체계</t>
  </si>
  <si>
    <t>중대산업·시민재해 계획</t>
  </si>
  <si>
    <t>경영방침</t>
  </si>
  <si>
    <t>SFR-005 · 006 · 013 · 014 계획·방침·의무 이행</t>
  </si>
  <si>
    <t>SFR-005</t>
  </si>
  <si>
    <t>안전보건 목표 및 경영방침 관리</t>
  </si>
  <si>
    <t>· 중대재해 처벌 등에 관한 법률 시행령 제4조제1호 — 안전보건관리체계의 구축 및 이행 조치 — 목표와 경영방침</t>
  </si>
  <si>
    <t>경영책임자가 안전보건 목표와 경영방침을 세우고 전 부서에 알린 사실을 남긴다. 시행령이 첫 번째 의무로 든 항목이다.</t>
  </si>
  <si>
    <t>조직</t>
  </si>
  <si>
    <t>SFR-006 · SFR-009 · SFR-010</t>
  </si>
  <si>
    <t>전담조직 관리기능 / 평가기준 마련 및 평가 관리 / 안전관리자, 보건관리자 인력 관리</t>
  </si>
  <si>
    <t>· 중대재해 처벌 등에 관한 법률 시행령 제4조제2호 — 안전보건관리체계의 구축 및 이행 조치 — 전담 조직
· 중대재해 처벌 등에 관한 법률 시행령 제4조제5호 — 안전보건관리체계의 구축 및 이행 조치 — 책임자 권한 부여ㆍ평가
· 중대재해 처벌 등에 관한 법률 시행령 제4조제6호 — 안전보건관리체계의 구축 및 이행 조치 — 전문인력 배치
· 산업안전보건법 제15조 — 안전보건관리책임자
· 산업안전보건법 제16조 — 관리감독자
· 산업안전보건법 제17조 — 안전관리자
· 산업안전보건법 제18조 — 보건관리자</t>
  </si>
  <si>
    <t>전담조직과 안전·보건관리자 배치를 관리한다. 누가 그 업무를 맡는지가 정해지지 않으면 나머지 의무의 주체가 없다.</t>
  </si>
  <si>
    <t>중대산업·시민재해 의무 이행점검</t>
  </si>
  <si>
    <t>이행점검</t>
  </si>
  <si>
    <t>SFR-008 · SFR-014</t>
  </si>
  <si>
    <t>인력, 예산 편성 및 집행 관리 / 의무 이행 여부 점검</t>
  </si>
  <si>
    <t>· 중대재해 처벌 등에 관한 법률 제4조 — 사업주와 경영책임자등의 안전 및 보건 확보의무
· 중대재해 처벌 등에 관한 법률 시행령 제5조 — 안전ㆍ보건 관계 법령에 따른 의무이행에 필요한 관리상의 조치
· 중대재해 처벌 등에 관한 법률 제9조 — 사업주와 경영책임자등의 안전 및 보건 확보의무 — 중대시민재해
· 중대재해 처벌 등에 관한 법률 시행령 제11조 — 공중이용시설ㆍ공중교통수단 관련 안전ㆍ보건 관계 법령에 따른 의무이행에 필요한 관리상의 조치</t>
  </si>
  <si>
    <t>시행령 각 호의 의무를 부서별로 이행했는지 반기마다 확인한다. 점검 결과가 곧 경영책임자의 이행 증빙이다.</t>
  </si>
  <si>
    <t>도급관리</t>
  </si>
  <si>
    <t>SFR-013</t>
  </si>
  <si>
    <t>도급, 용역, 위탁 시 안전보건 점검</t>
  </si>
  <si>
    <t>· 중대재해 처벌 등에 관한 법률 제5조 — 도급, 용역, 위탁 등 관계에서의 안전 및 보건 확보의무
· 중대재해 처벌 등에 관한 법률 시행령 제4조제9호 — 안전보건관리체계의 구축 및 이행 조치 — 도급ㆍ용역ㆍ위탁 기준
· 산업안전보건법 제63조 — 도급인의 안전조치 및 보건조치
· 산업안전보건법 제64조 — 도급에 따른 산업재해 예방조치</t>
  </si>
  <si>
    <t>도급·용역·위탁을 줄 때 수급인의 안전보건 확보 능력을 평가하고 점검한다. 중대재해처벌법이 제3자 종사자까지 책임 범위로 두기 때문이다.</t>
  </si>
  <si>
    <t>위험성평가</t>
  </si>
  <si>
    <t>정기 위험성평가</t>
  </si>
  <si>
    <t>SFR-003 · 007 · 019 위험성평가·재발방지</t>
  </si>
  <si>
    <t>SFR-007</t>
  </si>
  <si>
    <t>유해·위험 요인 업무절차 수립 및 점검 기능</t>
  </si>
  <si>
    <t>· 중대재해 처벌 등에 관한 법률 시행령 제4조제3호 — 안전보건관리체계의 구축 및 이행 조치 — 유해ㆍ위험요인 확인ㆍ개선
· 산업안전보건법 제36조 — 위험성평가의 실시
· 산업안전보건법 시행규칙 제37조 — 위험성평가의 방법, 절차 및 시기
· 사업장 위험성평가에 관한 지침 제15조 — 위험성평가의 실시 시기</t>
  </si>
  <si>
    <t>부서마다 연 1회 유해·위험요인을 찾아 없애거나 줄인다. 산업안전보건법이 사업주에게 직접 지운 의무이자 시행령의 반기 점검 대상이다.</t>
  </si>
  <si>
    <t>수시 위험성평가</t>
  </si>
  <si>
    <t>사고·설비 변경처럼 사유가 생겼을 때 그 자리에서 평가한다. 연 1회 정기평가만으로는 그 사이의 위험을 잡지 못한다.</t>
  </si>
  <si>
    <t>안전보건교육</t>
  </si>
  <si>
    <t>현업근로자</t>
  </si>
  <si>
    <t>정기교육</t>
  </si>
  <si>
    <t>SFR-004 · 010 안전계획·의무이행 점검</t>
  </si>
  <si>
    <t>SFR-004 · SFR-010</t>
  </si>
  <si>
    <t>안전계획 및 의무이행 점검 / 안전관리자, 보건관리자 인력 관리</t>
  </si>
  <si>
    <t>· 산업안전보건법 제29조 — 근로자에 대한 안전보건교육
· 산업안전보건법 시행규칙 별표4 — 안전보건교육 교육과정별 교육시간 (발췌 — 근로자ㆍ관리감독자)
· 산업안전보건법 시행령 별표1제4호 — 법의 일부를 적용하지 않는 사업 및 적용 제외 법 규정 (발췌 — 공공행정)
· 중대재해 처벌 등에 관한 법률 시행령 제5조 — 안전ㆍ보건 관계 법령에 따른 의무이행에 필요한 관리상의 조치</t>
  </si>
  <si>
    <t>현업업무 종사자에게 분기마다 정해진 시간의 교육을 실시하고 이수를 기록한다. 시행령 별표1이 공공행정을 적용 제외하면서 현업 종사자만 다시 뺐다.</t>
  </si>
  <si>
    <t>채용시교육</t>
  </si>
  <si>
    <t>SFR-004</t>
  </si>
  <si>
    <t>안전계획 및 의무이행 점검</t>
  </si>
  <si>
    <t>채용할 때 고용형태별로 정해진 시간의 교육을 한다. 일용·기간제까지 대상이라 채용 시점마다 판정이 필요하다.</t>
  </si>
  <si>
    <t>기타 교육</t>
  </si>
  <si>
    <t>· 산업안전보건법 제29조 — 근로자에 대한 안전보건교육
· 산업안전보건법 제31조 — 건설업 기초안전보건교육
· 산업안전보건법 시행규칙 별표4 — 안전보건교육 교육과정별 교육시간 (발췌 — 근로자ㆍ관리감독자)
· 산업안전보건법 시행규칙 별표5제1호라목 — 특별교육 대상 작업별 교육 — 대상 작업명 (발췌)
· 산업안전보건법 시행령 별표1제4호 — 법의 일부를 적용하지 않는 사업 및 적용 제외 법 규정 (발췌 — 공공행정)
· 중대재해 처벌 등에 관한 법률 시행령 제5조 — 안전ㆍ보건 관계 법령에 따른 의무이행에 필요한 관리상의 조치</t>
  </si>
  <si>
    <t>작업내용 변경 시·특별교육 등 사유가 생겼을 때 하는 교육을 기록한다. 정기·채용시로는 담기지 않는 법정 교육이다.</t>
  </si>
  <si>
    <t>관리감독자</t>
  </si>
  <si>
    <t>· 산업안전보건법 제29조 — 근로자에 대한 안전보건교육
· 산업안전보건법 시행규칙 별표4 — 안전보건교육 교육과정별 교육시간 (발췌 — 근로자ㆍ관리감독자)
· 산업안전보건법 시행령 별표1제4호 — 법의 일부를 적용하지 않는 사업 및 적용 제외 법 규정 (발췌 — 공공행정)</t>
  </si>
  <si>
    <t>· 산업안전보건법 제29조 — 근로자에 대한 안전보건교육
· 산업안전보건법 시행규칙 별표4 — 안전보건교육 교육과정별 교육시간 (발췌 — 근로자ㆍ관리감독자)
· 산업안전보건법 시행규칙 별표5제1호라목 — 특별교육 대상 작업별 교육 — 대상 작업명 (발췌)
· 산업안전보건법 시행령 별표1제4호 — 법의 일부를 적용하지 않는 사업 및 적용 제외 법 규정 (발췌 — 공공행정)</t>
  </si>
  <si>
    <t>교육 현황·관리</t>
  </si>
  <si>
    <t>이수현황</t>
  </si>
  <si>
    <t>부서별·대상자별 이수 여부와 미달을 본다. 실시했다는 사실보다 「누가 아직 안 받았나」가 관리 대상이다.</t>
  </si>
  <si>
    <t>근로자 명단 관리</t>
  </si>
  <si>
    <t>· 산업안전보건법 제29조 — 근로자에 대한 안전보건교육
· 산업안전보건법 시행령 별표1제4호 — 법의 일부를 적용하지 않는 사업 및 적용 제외 법 규정 (발췌 — 공공행정)</t>
  </si>
  <si>
    <t>교육 대상자 명단과 구분(현업·관리감독자)·고용형태를 관리한다. 명단이 곧 이수율의 분모다.</t>
  </si>
  <si>
    <t>결재 이력</t>
  </si>
  <si>
    <t>교육 실시 결과 공문을 온나라로 올린 이력을 조회한다. 결재 자체는 온나라가 하므로 이 화면은 조회 전용이다.</t>
  </si>
  <si>
    <t>작업환경·건강</t>
  </si>
  <si>
    <t>작업환경측정</t>
  </si>
  <si>
    <t>SFR-010 보건조치</t>
  </si>
  <si>
    <t>SFR-010</t>
  </si>
  <si>
    <t>안전관리자, 보건관리자 인력 관리</t>
  </si>
  <si>
    <t>· 산업안전보건법 제125조 — 작업환경측정
· 산업안전보건법 시행규칙 제190조 — 작업환경측정 주기 및 횟수</t>
  </si>
  <si>
    <t>유해인자 노출 사업장을 반기마다 측정하고 결과에 따라 개선한다. 측정 주기와 대상이 법으로 정해져 있다.</t>
  </si>
  <si>
    <t>건강검진 (일반·특수)</t>
  </si>
  <si>
    <t>· 산업안전보건법 제129조 — 일반건강진단
· 산업안전보건법 시행규칙 제197조 — 일반건강진단의 주기 등</t>
  </si>
  <si>
    <t>일반·특수 건강진단을 실시하고 사후관리한다. 개인 건강정보라 열람 범위를 따로 둔다.</t>
  </si>
  <si>
    <t>의견청취</t>
  </si>
  <si>
    <t>의견청취·건의함</t>
  </si>
  <si>
    <t>SFR-011 종사자 의견청취</t>
  </si>
  <si>
    <t>SFR-011</t>
  </si>
  <si>
    <t>종사자 의견청취 관리</t>
  </si>
  <si>
    <t>· 중대재해 처벌 등에 관한 법률 시행령 제4조제7호 — 안전보건관리체계의 구축 및 이행 조치 — 종사자 의견청취</t>
  </si>
  <si>
    <t>종사자가 안전보건에 관한 의견을 직접 올린다. 시행령이 의견 청취와 개선 조치를 의무로 두었다.</t>
  </si>
  <si>
    <t>산업안전보건위원회</t>
  </si>
  <si>
    <t>· 중대재해 처벌 등에 관한 법률 시행령 제4조제7호 — 안전보건관리체계의 구축 및 이행 조치 — 종사자 의견청취
· 산업안전보건법 제24조 — 산업안전보건위원회
· 산업안전보건법 시행령 제37조 — 산업안전보건위원회의 회의 등</t>
  </si>
  <si>
    <t>노사가 함께 심의·의결하는 위원회를 분기마다 운영하고 회의록을 남긴다.</t>
  </si>
  <si>
    <t>협의체·점검표</t>
  </si>
  <si>
    <t>· 중대재해 처벌 등에 관한 법률 시행령 제4조제7호 — 안전보건관리체계의 구축 및 이행 조치 — 종사자 의견청취
· 산업안전보건법 제64조 — 도급에 따른 산업재해 예방조치</t>
  </si>
  <si>
    <t>도급 사업장의 안전보건 협의체를 운영하고 점검 결과를 남긴다.</t>
  </si>
  <si>
    <t>인력·예산</t>
  </si>
  <si>
    <t>인력 평가</t>
  </si>
  <si>
    <t>SFR-008 · 009 조직·인력·예산·평가</t>
  </si>
  <si>
    <t>SFR-009</t>
  </si>
  <si>
    <t>평가기준 마련 및 평가 관리</t>
  </si>
  <si>
    <t>· 중대재해 처벌 등에 관한 법률 시행령 제4조제5호 — 안전보건관리체계의 구축 및 이행 조치 — 책임자 권한 부여ㆍ평가</t>
  </si>
  <si>
    <t>안전보건관리책임자·관리감독자가 업무를 제대로 수행했는지 반기마다 평가한다. 평가 기준 마련과 실시가 시행령 의무다.</t>
  </si>
  <si>
    <t>평가 현황</t>
  </si>
  <si>
    <t>반기 평가의 진행과 결과를 모아 본다. 미실시가 곧 의무 미이행이라 진행 상황이 관리 대상이다.</t>
  </si>
  <si>
    <t>평가 설정</t>
  </si>
  <si>
    <t>평가 항목과 역할별 배점을 정한다. 기준을 시스템 밖에서 관리하면 평가마다 기준이 달라진다.</t>
  </si>
  <si>
    <t>예산 관리</t>
  </si>
  <si>
    <t>예산 총괄표</t>
  </si>
  <si>
    <t>SFR-008</t>
  </si>
  <si>
    <t>인력, 예산 편성 및 집행 관리</t>
  </si>
  <si>
    <t>· 중대재해 처벌 등에 관한 법률 시행령 제4조제4호 — 안전보건관리체계의 구축 및 이행 조치 — 예산 편성ㆍ집행</t>
  </si>
  <si>
    <t>재해예방에 필요한 예산을 편성하고 집행률을 확인한다. 편성만이 아니라 집행까지가 시행령 의무다.</t>
  </si>
  <si>
    <t>예산 기준 설정</t>
  </si>
  <si>
    <t>어떤 항목을 안전보건 예산으로 볼지 기준을 정한다. 기준이 없으면 부서마다 다른 것을 넣어 집행률이 비교되지 않는다.</t>
  </si>
  <si>
    <t>업무 관리</t>
  </si>
  <si>
    <t>이행 관리</t>
  </si>
  <si>
    <t>SFR-004 · 012 · 014 의무이행 점검·관계법령</t>
  </si>
  <si>
    <t>· 산업안전보건법 제164조 — 서류의 보존</t>
  </si>
  <si>
    <t>법으로 해야 하는 일을 군·부서·관리대상 세 계층으로 나눠, 회차마다 증빙이 갖춰졌는지 본다. 의무 이행 점검의 실무 축이다.</t>
  </si>
  <si>
    <t>문서 목록</t>
  </si>
  <si>
    <t>문서 한 건이 어떤 할 일의 증빙인지와 함께 찾는다. 문서를 찾는 것과 의무가 채워졌는지 보는 것은 다른 질문이다.</t>
  </si>
  <si>
    <t>기준문서함</t>
  </si>
  <si>
    <t>제정·개정 원문과 버전을 보관한다. 매뉴얼·업무처리절차의 정본이 어디 있는지 한 자리에서 정해진다.</t>
  </si>
  <si>
    <t>통계·보고</t>
  </si>
  <si>
    <t>현황 통계</t>
  </si>
  <si>
    <t>SFR-018 · 021 통계·제증명</t>
  </si>
  <si>
    <t>SFR-018</t>
  </si>
  <si>
    <t>현황 및 통계관리 기능</t>
  </si>
  <si>
    <t>· 산업안전보건법 제15조 — 안전보건관리책임자</t>
  </si>
  <si>
    <t>이행 현황을 부서·기간별로 집계해 보여주고 내려받는다. 제안요청서가 시각화와 엑셀 다운로드를 함께 요구했다.</t>
  </si>
  <si>
    <t>보고서·제증명</t>
  </si>
  <si>
    <t>SFR-021</t>
  </si>
  <si>
    <t>제증명 관리</t>
  </si>
  <si>
    <t>보고서와 증명서를 출력한다. 위조 방지 표시가 요구사항에 포함된다.</t>
  </si>
  <si>
    <t>정보센터</t>
  </si>
  <si>
    <t>공지·자료실·우수사례를 공유한다. 법정 의무는 아니고 운영 편의를 위한 자리다.</t>
  </si>
  <si>
    <t>시스템 관리</t>
  </si>
  <si>
    <t>사용자·권한</t>
  </si>
  <si>
    <t>사용자 관리</t>
  </si>
  <si>
    <t>SFR-001 · 015 · 016 · 017 공통 기반</t>
  </si>
  <si>
    <t>SFR-015</t>
  </si>
  <si>
    <t>통합 인증 체계 구축</t>
  </si>
  <si>
    <t>행정포털 계정·조직과 연계해 사용자를 관리한다. 통합 인증 요구사항의 화면이다.</t>
  </si>
  <si>
    <t>권한 관리</t>
  </si>
  <si>
    <t>권한 등급과 구성원을 정한다. 「권한을 부여받지 않은 메뉴에 접근할 수 없어야 한다」는 공통 요구사항의 절반이다.</t>
  </si>
  <si>
    <t>메뉴 관리</t>
  </si>
  <si>
    <t>메뉴별 보기·수정 대상을 등급·부서·개인으로 지정한다. 위 요구사항의 나머지 절반이다.</t>
  </si>
  <si>
    <t>기준정보</t>
  </si>
  <si>
    <t>사업장 관리</t>
  </si>
  <si>
    <t>사업장 마스터를 관리한다. 작업환경측정·건강검진의 대상 판정이 이 값에서 나온다.</t>
  </si>
  <si>
    <t>프리셋 양식 관리</t>
  </si>
  <si>
    <t>전자문서 양식을 관리자가 만들어 둔다. 양식이 바뀔 때마다 개발하지 않기 위한 자리다.</t>
  </si>
  <si>
    <t>법령 관리</t>
  </si>
  <si>
    <t>법령·조문과 화면별 근거 매핑을 관리한다. 조문이 개정되면 어느 화면이 영향을 받는지 여기서 본다.</t>
  </si>
  <si>
    <t>연계·알림</t>
  </si>
  <si>
    <t>연계 관리</t>
  </si>
  <si>
    <t>온나라·시설물관리시스템·행정포털·법제처 연계 상태를 본다. 연계가 끊긴 것을 화면이 성공으로 가장하지 않게 한다.</t>
  </si>
  <si>
    <t>알림 관리</t>
  </si>
  <si>
    <t>SFR-017</t>
  </si>
  <si>
    <t>통합알림체계 구축</t>
  </si>
  <si>
    <t>알림 발송과 이력을 관리한다. 통합알림체계 요구사항의 화면이다.</t>
  </si>
  <si>
    <t>요구사항</t>
  </si>
  <si>
    <t>이 요구사항을 답하는 대메뉴</t>
  </si>
  <si>
    <t>화면 수</t>
  </si>
  <si>
    <t>해당 화면</t>
  </si>
  <si>
    <t>SFR-001</t>
  </si>
  <si>
    <t>프로그램 개발 공통 사항</t>
  </si>
  <si>
    <t>(대메뉴 축으로만 덮임 — 화면 단위 매핑 없음)</t>
  </si>
  <si>
    <t>관리대상 현황 · 시설물 대장 · 시설물 위험도 · FMS 연계 · 연계 설정</t>
  </si>
  <si>
    <t>SFR-003</t>
  </si>
  <si>
    <t>재발방지대책의 수립 관리 및 개선, 시정 조치 관리</t>
  </si>
  <si>
    <t>안전보건교육 · 업무 관리</t>
  </si>
  <si>
    <t>정기교육 · 채용시교육 · 기타 교육 · 정기교육 · 채용시교육 · 기타 교육 · 이수현황 · 근로자 명단 관리 · 결재 이력</t>
  </si>
  <si>
    <t>SFR-006</t>
  </si>
  <si>
    <t>전담조직 관리기능</t>
  </si>
  <si>
    <t>정기 위험성평가 · 수시 위험성평가</t>
  </si>
  <si>
    <t>안전보건관리체계 · 인력·예산</t>
  </si>
  <si>
    <t>이행점검 · 예산 총괄표 · 예산 기준 설정</t>
  </si>
  <si>
    <t>조직 · 인력 평가 · 평가 현황 · 평가 설정</t>
  </si>
  <si>
    <t>안전보건관리체계 · 안전보건교육 · 작업환경·건강</t>
  </si>
  <si>
    <t>조직 · 정기교육 · 이수현황 · 작업환경측정 · 건강검진 (일반·특수)</t>
  </si>
  <si>
    <t>의견청취·건의함 · 산업안전보건위원회 · 협의체·점검표</t>
  </si>
  <si>
    <t>SFR-012</t>
  </si>
  <si>
    <t>중대재해 예방 매뉴얼(업무처리절차) 점검 관리</t>
  </si>
  <si>
    <t>SFR-014</t>
  </si>
  <si>
    <t>의무 이행 여부 점검</t>
  </si>
  <si>
    <t>안전보건관리체계 · 업무 관리</t>
  </si>
  <si>
    <t>기본정보 · 시스템 관리</t>
  </si>
  <si>
    <t>대시보드 · 시스템 관리</t>
  </si>
  <si>
    <t>SFR-019</t>
  </si>
  <si>
    <t>유해/위험요인 신고 관리 기능</t>
  </si>
  <si>
    <t>법령</t>
  </si>
  <si>
    <t>조문</t>
  </si>
  <si>
    <t>조문 제목</t>
  </si>
  <si>
    <t>이 조문을 쓰는 화면 수</t>
  </si>
  <si>
    <t>사업장 위험성평가에 관한 지침</t>
  </si>
  <si>
    <t>제15조</t>
  </si>
  <si>
    <t>위험성평가의 실시 시기</t>
  </si>
  <si>
    <t>위험성평가 &gt; 정기 위험성평가 · 위험성평가 &gt; 수시 위험성평가</t>
  </si>
  <si>
    <t>산업안전보건법</t>
  </si>
  <si>
    <t>제125조</t>
  </si>
  <si>
    <t>작업환경·건강 &gt; 작업환경측정</t>
  </si>
  <si>
    <t>제129조</t>
  </si>
  <si>
    <t>일반건강진단</t>
  </si>
  <si>
    <t>작업환경·건강 &gt; 건강검진 (일반·특수)</t>
  </si>
  <si>
    <t>안전보건관리책임자</t>
  </si>
  <si>
    <t>안전보건관리체계 &gt; 조직 · 통계·보고 &gt; 현황 통계</t>
  </si>
  <si>
    <t>제164조</t>
  </si>
  <si>
    <t>서류의 보존</t>
  </si>
  <si>
    <t>업무 관리 &gt; 이행 관리 · 업무 관리 &gt; 문서 목록 · 업무 관리 &gt; 기준문서함</t>
  </si>
  <si>
    <t>제16조</t>
  </si>
  <si>
    <t>안전보건관리체계 &gt; 조직</t>
  </si>
  <si>
    <t>제17조</t>
  </si>
  <si>
    <t>안전관리자</t>
  </si>
  <si>
    <t>제18조</t>
  </si>
  <si>
    <t>보건관리자</t>
  </si>
  <si>
    <t>제24조</t>
  </si>
  <si>
    <t>의견청취 &gt; 산업안전보건위원회</t>
  </si>
  <si>
    <t>제29조</t>
  </si>
  <si>
    <t>근로자에 대한 안전보건교육</t>
  </si>
  <si>
    <t>안전보건교육 &gt; 정기교육 · 안전보건교육 &gt; 채용시교육 · 안전보건교육 &gt; 기타 교육 · 안전보건교육 &gt; 정기교육 · 안전보건교육 &gt; 채용시교육 · 안전보건교육 &gt; 기타 교육 · 안전보건교육 &gt; 이수현황 · 안전보건교육 &gt; 근로자 명단 관리</t>
  </si>
  <si>
    <t>제31조</t>
  </si>
  <si>
    <t>건설업 기초안전보건교육</t>
  </si>
  <si>
    <t>안전보건교육 &gt; 기타 교육</t>
  </si>
  <si>
    <t>제36조</t>
  </si>
  <si>
    <t>위험성평가의 실시</t>
  </si>
  <si>
    <t>제63조</t>
  </si>
  <si>
    <t>도급인의 안전조치 및 보건조치</t>
  </si>
  <si>
    <t>안전보건관리체계 &gt; 도급관리</t>
  </si>
  <si>
    <t>제64조</t>
  </si>
  <si>
    <t>도급에 따른 산업재해 예방조치</t>
  </si>
  <si>
    <t>안전보건관리체계 &gt; 도급관리 · 의견청취 &gt; 협의체·점검표</t>
  </si>
  <si>
    <t>산업안전보건법 시행규칙</t>
  </si>
  <si>
    <t>별표4</t>
  </si>
  <si>
    <t>안전보건교육 교육과정별 교육시간 (발췌 — 근로자ㆍ관리감독자)</t>
  </si>
  <si>
    <t>안전보건교육 &gt; 정기교육 · 안전보건교육 &gt; 채용시교육 · 안전보건교육 &gt; 기타 교육 · 안전보건교육 &gt; 정기교육 · 안전보건교육 &gt; 채용시교육 · 안전보건교육 &gt; 기타 교육 · 안전보건교육 &gt; 이수현황</t>
  </si>
  <si>
    <t>별표5제1호라목</t>
  </si>
  <si>
    <t>특별교육 대상 작업별 교육 — 대상 작업명 (발췌)</t>
  </si>
  <si>
    <t>안전보건교육 &gt; 기타 교육 · 안전보건교육 &gt; 기타 교육</t>
  </si>
  <si>
    <t>제190조</t>
  </si>
  <si>
    <t>작업환경측정 주기 및 횟수</t>
  </si>
  <si>
    <t>제197조</t>
  </si>
  <si>
    <t>일반건강진단의 주기 등</t>
  </si>
  <si>
    <t>제37조</t>
  </si>
  <si>
    <t>위험성평가의 방법, 절차 및 시기</t>
  </si>
  <si>
    <t>산업안전보건법 시행령</t>
  </si>
  <si>
    <t>별표1제4호</t>
  </si>
  <si>
    <t>법의 일부를 적용하지 않는 사업 및 적용 제외 법 규정 (발췌 — 공공행정)</t>
  </si>
  <si>
    <t>산업안전보건위원회의 회의 등</t>
  </si>
  <si>
    <t>시설물의 안전 및 유지관리에 관한 특별법</t>
  </si>
  <si>
    <t>제11조</t>
  </si>
  <si>
    <t>안전점검의 실시</t>
  </si>
  <si>
    <t>기본정보 &gt; 시설물 위험도</t>
  </si>
  <si>
    <t>시설물의 안전등급 지정 등</t>
  </si>
  <si>
    <t>제7조</t>
  </si>
  <si>
    <t>시설물의 종류</t>
  </si>
  <si>
    <t>기본정보 &gt; 관리대상 현황 · 기본정보 &gt; 시설물 대장</t>
  </si>
  <si>
    <t>시설물의 안전 및 유지관리에 관한 특별법 시행령</t>
  </si>
  <si>
    <t>별표3</t>
  </si>
  <si>
    <t>안전점검, 정밀안전진단 및 성능평가의 실시시기 (발췌 — 표 + 비고 1~3)</t>
  </si>
  <si>
    <t>별표8</t>
  </si>
  <si>
    <t>시설물의 안전등급 기준 (제12조 관련)</t>
  </si>
  <si>
    <t>중대재해 처벌 등에 관한 법률</t>
  </si>
  <si>
    <t>제4조</t>
  </si>
  <si>
    <t>사업주와 경영책임자등의 안전 및 보건 확보의무</t>
  </si>
  <si>
    <t>대시보드 &gt; 통합 현황 · 기본정보 &gt; 관리대상 현황 · 기본정보 &gt; 데이터 일괄등록 · 안전보건관리체계 &gt; 이행점검</t>
  </si>
  <si>
    <t>제5조</t>
  </si>
  <si>
    <t>도급, 용역, 위탁 등 관계에서의 안전 및 보건 확보의무</t>
  </si>
  <si>
    <t>제9조</t>
  </si>
  <si>
    <t>사업주와 경영책임자등의 안전 및 보건 확보의무 — 중대시민재해</t>
  </si>
  <si>
    <t>기본정보 &gt; 관리대상 현황 · 기본정보 &gt; 시설물 대장 · 안전보건관리체계 &gt; 이행점검</t>
  </si>
  <si>
    <t>중대재해 처벌 등에 관한 법률 시행령</t>
  </si>
  <si>
    <t>별표2</t>
  </si>
  <si>
    <t>법 제2조제4호가목의 시설 중 공중이용시설 (제3조제1호 관련)</t>
  </si>
  <si>
    <t>기본정보 &gt; 관리대상 현황</t>
  </si>
  <si>
    <t>법 제2조제4호나목의 시설물 중 공중이용시설 (제3조제2호 관련)</t>
  </si>
  <si>
    <t>제10조</t>
  </si>
  <si>
    <t>공중이용시설ㆍ공중교통수단 관련 안전보건관리체계 구축 및 이행에 관한 조치</t>
  </si>
  <si>
    <t>기본정보 &gt; 시설물 대장 · 기본정보 &gt; 시설물 위험도</t>
  </si>
  <si>
    <t>공중이용시설ㆍ공중교통수단 관련 안전ㆍ보건 관계 법령에 따른 의무이행에 필요한 관리상의 조치</t>
  </si>
  <si>
    <t>안전보건관리체계 &gt; 이행점검</t>
  </si>
  <si>
    <t>제4조제1호</t>
  </si>
  <si>
    <t>안전보건관리체계의 구축 및 이행 조치 — 목표와 경영방침</t>
  </si>
  <si>
    <t>안전보건관리체계 &gt; 경영방침</t>
  </si>
  <si>
    <t>제4조제2호</t>
  </si>
  <si>
    <t>안전보건관리체계의 구축 및 이행 조치 — 전담 조직</t>
  </si>
  <si>
    <t>제4조제3호</t>
  </si>
  <si>
    <t>안전보건관리체계의 구축 및 이행 조치 — 유해ㆍ위험요인 확인ㆍ개선</t>
  </si>
  <si>
    <t>대시보드 &gt; 통합 현황 · 위험성평가 &gt; 정기 위험성평가 · 위험성평가 &gt; 수시 위험성평가</t>
  </si>
  <si>
    <t>제4조제4호</t>
  </si>
  <si>
    <t>안전보건관리체계의 구축 및 이행 조치 — 예산 편성ㆍ집행</t>
  </si>
  <si>
    <t>인력·예산 &gt; 예산 총괄표 · 인력·예산 &gt; 예산 기준 설정</t>
  </si>
  <si>
    <t>제4조제5호</t>
  </si>
  <si>
    <t>안전보건관리체계의 구축 및 이행 조치 — 책임자 권한 부여ㆍ평가</t>
  </si>
  <si>
    <t>안전보건관리체계 &gt; 조직 · 인력·예산 &gt; 인력 평가 · 인력·예산 &gt; 평가 현황 · 인력·예산 &gt; 평가 설정</t>
  </si>
  <si>
    <t>제4조제6호</t>
  </si>
  <si>
    <t>안전보건관리체계의 구축 및 이행 조치 — 전문인력 배치</t>
  </si>
  <si>
    <t>제4조제7호</t>
  </si>
  <si>
    <t>안전보건관리체계의 구축 및 이행 조치 — 종사자 의견청취</t>
  </si>
  <si>
    <t>의견청취 &gt; 의견청취·건의함 · 의견청취 &gt; 산업안전보건위원회 · 의견청취 &gt; 협의체·점검표</t>
  </si>
  <si>
    <t>제4조제9호</t>
  </si>
  <si>
    <t>안전보건관리체계의 구축 및 이행 조치 — 도급ㆍ용역ㆍ위탁 기준</t>
  </si>
  <si>
    <t>안전ㆍ보건 관계 법령에 따른 의무이행에 필요한 관리상의 조치</t>
  </si>
  <si>
    <t>대시보드 &gt; 통합 현황 · 안전보건관리체계 &gt; 이행점검 · 안전보건교육 &gt; 정기교육 · 안전보건교육 &gt; 채용시교육 · 안전보건교육 &gt; 기타 교육 · 안전보건교육 &gt; 이수현황</t>
  </si>
  <si>
    <t>출처: 법제처 국가법령정보센터 공개 자료 (수집일 2026-08-13 · https://www.law.go.kr)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</si>
</sst>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개&quot;"/>
  </numFmts>
  <fonts count="12">
    <font>
      <sz val="11"/>
      <color theme="1"/>
      <name val="맑은 고딕"/>
      <family val="2"/>
      <scheme val="minor"/>
    </font>
    <font>
      <b/>
      <sz val="18"/>
      <color rgb="FF0F3D2E"/>
      <name val="Arial"/>
      <family val="2"/>
    </font>
    <font>
      <sz val="11"/>
      <color rgb="FF63706A"/>
      <name val="Arial"/>
      <family val="2"/>
    </font>
    <font>
      <b/>
      <sz val="10"/>
      <color rgb="FF24785C"/>
      <name val="Arial"/>
      <family val="2"/>
    </font>
    <font>
      <sz val="10"/>
      <color rgb="FF1A2420"/>
      <name val="Arial"/>
      <family val="2"/>
    </font>
    <font>
      <sz val="10"/>
      <color rgb="FF63706A"/>
      <name val="Arial"/>
      <family val="2"/>
    </font>
    <font>
      <b/>
      <sz val="10"/>
      <color rgb="FF1A2420"/>
      <name val="Arial"/>
      <family val="2"/>
    </font>
    <font>
      <b/>
      <sz val="10"/>
      <color rgb="FFFFFFFF"/>
      <name val="Arial"/>
      <family val="2"/>
    </font>
    <font>
      <b/>
      <sz val="10"/>
      <color rgb="FF0F3D2E"/>
      <name val="Arial"/>
      <family val="2"/>
    </font>
    <font>
      <sz val="10"/>
      <color rgb="FFA1633B"/>
      <name val="Arial"/>
      <family val="2"/>
    </font>
    <font>
      <sz val="9"/>
      <color rgb="FF63706A"/>
      <name val="Arial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3D2E"/>
      </patternFill>
    </fill>
    <fill>
      <patternFill patternType="solid">
        <fgColor rgb="FFF7F8F6"/>
      </patternFill>
    </fill>
    <fill>
      <patternFill patternType="solid">
        <fgColor rgb="FFF7EFE7"/>
      </patternFill>
    </fill>
  </fills>
  <borders count="2">
    <border>
      <left/>
      <right/>
      <top/>
      <bottom/>
      <diagonal/>
    </border>
    <border>
      <left style="thin">
        <color rgb="FFDCDED8"/>
      </left>
      <right style="thin">
        <color rgb="FFDCDED8"/>
      </right>
      <top style="thin">
        <color rgb="FFDCDED8"/>
      </top>
      <bottom style="thin">
        <color rgb="FFDCDED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5" fillId="0" borderId="0" xfId="0" applyFont="1"/>
    <xf numFmtId="176" fontId="6" fillId="0" borderId="0" xfId="0" applyNumberFormat="1" applyFont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/>
    <xf numFmtId="0" fontId="1" fillId="0" borderId="0" xfId="0" applyFont="1"/>
    <xf numFmtId="0" fontId="10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workbookViewId="0">
      <selection activeCell="C31" sqref="C31"/>
    </sheetView>
  </sheetViews>
  <sheetFormatPr baseColWidth="10" defaultColWidth="8.83203125" defaultRowHeight="17"/>
  <cols>
    <col min="1" max="1" width="3" customWidth="1"/>
    <col min="2" max="2" width="22" customWidth="1"/>
    <col min="3" max="3" width="104" customWidth="1"/>
  </cols>
  <sheetData>
    <row r="2" spans="2:3" ht="30" customHeight="1">
      <c r="B2" s="20" t="s">
        <v>0</v>
      </c>
      <c r="C2" s="19"/>
    </row>
    <row r="3" spans="2:3">
      <c r="B3" s="18" t="s">
        <v>1</v>
      </c>
      <c r="C3" s="19"/>
    </row>
    <row r="5" spans="2:3" ht="17" customHeight="1">
      <c r="B5" s="1" t="s">
        <v>2</v>
      </c>
      <c r="C5" s="2" t="s">
        <v>3</v>
      </c>
    </row>
    <row r="6" spans="2:3" ht="17" customHeight="1">
      <c r="B6" s="1" t="s">
        <v>4</v>
      </c>
      <c r="C6" s="2" t="s">
        <v>5</v>
      </c>
    </row>
    <row r="7" spans="2:3" ht="7" customHeight="1">
      <c r="C7" s="2"/>
    </row>
    <row r="8" spans="2:3" ht="17" customHeight="1">
      <c r="B8" s="1" t="s">
        <v>6</v>
      </c>
      <c r="C8" s="2" t="s">
        <v>7</v>
      </c>
    </row>
    <row r="9" spans="2:3" ht="17" customHeight="1">
      <c r="C9" s="2" t="s">
        <v>8</v>
      </c>
    </row>
    <row r="10" spans="2:3" ht="17" customHeight="1">
      <c r="C10" s="2" t="s">
        <v>9</v>
      </c>
    </row>
    <row r="11" spans="2:3" ht="7" customHeight="1">
      <c r="C11" s="2"/>
    </row>
    <row r="12" spans="2:3" ht="17" customHeight="1">
      <c r="B12" s="1" t="s">
        <v>10</v>
      </c>
      <c r="C12" s="2" t="s">
        <v>11</v>
      </c>
    </row>
    <row r="13" spans="2:3" ht="17" customHeight="1">
      <c r="C13" s="2" t="s">
        <v>12</v>
      </c>
    </row>
    <row r="14" spans="2:3" ht="7" customHeight="1">
      <c r="C14" s="2"/>
    </row>
    <row r="15" spans="2:3" ht="17" customHeight="1">
      <c r="B15" s="1" t="s">
        <v>13</v>
      </c>
      <c r="C15" s="2" t="s">
        <v>14</v>
      </c>
    </row>
    <row r="16" spans="2:3" ht="17" customHeight="1">
      <c r="C16" s="2" t="s">
        <v>15</v>
      </c>
    </row>
    <row r="17" spans="2:3" ht="17" customHeight="1">
      <c r="C17" s="2" t="s">
        <v>16</v>
      </c>
    </row>
    <row r="18" spans="2:3" ht="7" customHeight="1">
      <c r="C18" s="2"/>
    </row>
    <row r="19" spans="2:3" ht="17" customHeight="1">
      <c r="B19" s="1" t="s">
        <v>17</v>
      </c>
      <c r="C19" s="2" t="s">
        <v>18</v>
      </c>
    </row>
    <row r="20" spans="2:3" ht="17" customHeight="1">
      <c r="C20" s="2" t="s">
        <v>19</v>
      </c>
    </row>
    <row r="21" spans="2:3" ht="17" customHeight="1">
      <c r="C21" s="2" t="s">
        <v>20</v>
      </c>
    </row>
    <row r="23" spans="2:3">
      <c r="B23" s="3" t="s">
        <v>21</v>
      </c>
    </row>
    <row r="24" spans="2:3">
      <c r="B24" s="4" t="s">
        <v>22</v>
      </c>
      <c r="C24" s="5">
        <f>COUNTA(메뉴별근거!A2:A48)</f>
        <v>11</v>
      </c>
    </row>
    <row r="25" spans="2:3">
      <c r="B25" s="4" t="s">
        <v>23</v>
      </c>
      <c r="C25" s="5">
        <f>COUNTA(메뉴별근거!C2:C48)</f>
        <v>47</v>
      </c>
    </row>
    <row r="26" spans="2:3">
      <c r="B26" s="4" t="s">
        <v>24</v>
      </c>
      <c r="C26" s="5">
        <f>COUNTIF(메뉴별근거!G2:G48,"&lt;&gt;근거 없음")</f>
        <v>33</v>
      </c>
    </row>
    <row r="27" spans="2:3">
      <c r="B27" s="4" t="s">
        <v>25</v>
      </c>
      <c r="C27" s="5">
        <f>COUNTIF(메뉴별근거!G2:G48,"근거 없음")</f>
        <v>14</v>
      </c>
    </row>
  </sheetData>
  <mergeCells count="2">
    <mergeCell ref="B3:C3"/>
    <mergeCell ref="B2:C2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7"/>
  <cols>
    <col min="1" max="1" width="15" customWidth="1"/>
    <col min="2" max="3" width="20" customWidth="1"/>
    <col min="4" max="4" width="25" customWidth="1"/>
    <col min="5" max="5" width="13" customWidth="1"/>
    <col min="6" max="6" width="26" customWidth="1"/>
    <col min="7" max="7" width="46" customWidth="1"/>
    <col min="8" max="8" width="70" customWidth="1"/>
  </cols>
  <sheetData>
    <row r="1" spans="1:8" ht="34" customHeight="1">
      <c r="A1" s="6" t="s">
        <v>22</v>
      </c>
      <c r="B1" s="6" t="s">
        <v>26</v>
      </c>
      <c r="C1" s="6" t="s">
        <v>23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</row>
    <row r="2" spans="1:8" ht="57" customHeight="1">
      <c r="A2" s="7" t="s">
        <v>32</v>
      </c>
      <c r="B2" s="8" t="s">
        <v>33</v>
      </c>
      <c r="C2" s="8" t="s">
        <v>34</v>
      </c>
      <c r="D2" s="8" t="s">
        <v>35</v>
      </c>
      <c r="E2" s="9" t="s">
        <v>36</v>
      </c>
      <c r="F2" s="8" t="s">
        <v>37</v>
      </c>
      <c r="G2" s="8" t="s">
        <v>38</v>
      </c>
      <c r="H2" s="8" t="s">
        <v>39</v>
      </c>
    </row>
    <row r="3" spans="1:8" ht="31" customHeight="1">
      <c r="A3" s="10"/>
      <c r="B3" s="11" t="s">
        <v>33</v>
      </c>
      <c r="C3" s="11" t="s">
        <v>40</v>
      </c>
      <c r="D3" s="11" t="s">
        <v>35</v>
      </c>
      <c r="E3" s="12" t="s">
        <v>33</v>
      </c>
      <c r="F3" s="11" t="s">
        <v>33</v>
      </c>
      <c r="G3" s="13" t="s">
        <v>41</v>
      </c>
      <c r="H3" s="11" t="s">
        <v>42</v>
      </c>
    </row>
    <row r="4" spans="1:8" ht="83" customHeight="1">
      <c r="A4" s="7" t="s">
        <v>43</v>
      </c>
      <c r="B4" s="8" t="s">
        <v>44</v>
      </c>
      <c r="C4" s="8" t="s">
        <v>45</v>
      </c>
      <c r="D4" s="8" t="s">
        <v>46</v>
      </c>
      <c r="E4" s="9" t="s">
        <v>47</v>
      </c>
      <c r="F4" s="8" t="s">
        <v>48</v>
      </c>
      <c r="G4" s="8" t="s">
        <v>49</v>
      </c>
      <c r="H4" s="8" t="s">
        <v>50</v>
      </c>
    </row>
    <row r="5" spans="1:8" ht="31" customHeight="1">
      <c r="A5" s="10"/>
      <c r="B5" s="11" t="s">
        <v>44</v>
      </c>
      <c r="C5" s="11" t="s">
        <v>51</v>
      </c>
      <c r="D5" s="11" t="s">
        <v>46</v>
      </c>
      <c r="E5" s="12" t="s">
        <v>52</v>
      </c>
      <c r="F5" s="11" t="s">
        <v>53</v>
      </c>
      <c r="G5" s="11" t="s">
        <v>54</v>
      </c>
      <c r="H5" s="11" t="s">
        <v>55</v>
      </c>
    </row>
    <row r="6" spans="1:8" ht="57" customHeight="1">
      <c r="A6" s="7"/>
      <c r="B6" s="8" t="s">
        <v>56</v>
      </c>
      <c r="C6" s="8" t="s">
        <v>57</v>
      </c>
      <c r="D6" s="8" t="s">
        <v>46</v>
      </c>
      <c r="E6" s="9" t="s">
        <v>47</v>
      </c>
      <c r="F6" s="8" t="s">
        <v>48</v>
      </c>
      <c r="G6" s="8" t="s">
        <v>58</v>
      </c>
      <c r="H6" s="8" t="s">
        <v>59</v>
      </c>
    </row>
    <row r="7" spans="1:8" ht="83" customHeight="1">
      <c r="A7" s="10"/>
      <c r="B7" s="11" t="s">
        <v>56</v>
      </c>
      <c r="C7" s="11" t="s">
        <v>60</v>
      </c>
      <c r="D7" s="11" t="s">
        <v>46</v>
      </c>
      <c r="E7" s="12" t="s">
        <v>47</v>
      </c>
      <c r="F7" s="11" t="s">
        <v>48</v>
      </c>
      <c r="G7" s="11" t="s">
        <v>61</v>
      </c>
      <c r="H7" s="11" t="s">
        <v>62</v>
      </c>
    </row>
    <row r="8" spans="1:8" ht="31" customHeight="1">
      <c r="A8" s="7"/>
      <c r="B8" s="8" t="s">
        <v>56</v>
      </c>
      <c r="C8" s="8" t="s">
        <v>63</v>
      </c>
      <c r="D8" s="8" t="s">
        <v>46</v>
      </c>
      <c r="E8" s="9" t="s">
        <v>47</v>
      </c>
      <c r="F8" s="8" t="s">
        <v>48</v>
      </c>
      <c r="G8" s="13" t="s">
        <v>41</v>
      </c>
      <c r="H8" s="8" t="s">
        <v>64</v>
      </c>
    </row>
    <row r="9" spans="1:8" ht="31" customHeight="1">
      <c r="A9" s="10"/>
      <c r="B9" s="11" t="s">
        <v>56</v>
      </c>
      <c r="C9" s="11" t="s">
        <v>65</v>
      </c>
      <c r="D9" s="11" t="s">
        <v>46</v>
      </c>
      <c r="E9" s="12" t="s">
        <v>47</v>
      </c>
      <c r="F9" s="11" t="s">
        <v>48</v>
      </c>
      <c r="G9" s="13" t="s">
        <v>41</v>
      </c>
      <c r="H9" s="11" t="s">
        <v>66</v>
      </c>
    </row>
    <row r="10" spans="1:8" ht="31" customHeight="1">
      <c r="A10" s="7" t="s">
        <v>67</v>
      </c>
      <c r="B10" s="8" t="s">
        <v>68</v>
      </c>
      <c r="C10" s="8" t="s">
        <v>69</v>
      </c>
      <c r="D10" s="8" t="s">
        <v>70</v>
      </c>
      <c r="E10" s="9" t="s">
        <v>71</v>
      </c>
      <c r="F10" s="8" t="s">
        <v>72</v>
      </c>
      <c r="G10" s="8" t="s">
        <v>73</v>
      </c>
      <c r="H10" s="8" t="s">
        <v>74</v>
      </c>
    </row>
    <row r="11" spans="1:8" ht="109" customHeight="1">
      <c r="A11" s="10"/>
      <c r="B11" s="11" t="s">
        <v>68</v>
      </c>
      <c r="C11" s="11" t="s">
        <v>75</v>
      </c>
      <c r="D11" s="11" t="s">
        <v>70</v>
      </c>
      <c r="E11" s="12" t="s">
        <v>76</v>
      </c>
      <c r="F11" s="11" t="s">
        <v>77</v>
      </c>
      <c r="G11" s="11" t="s">
        <v>78</v>
      </c>
      <c r="H11" s="11" t="s">
        <v>79</v>
      </c>
    </row>
    <row r="12" spans="1:8" ht="70" customHeight="1">
      <c r="A12" s="7"/>
      <c r="B12" s="8" t="s">
        <v>80</v>
      </c>
      <c r="C12" s="8" t="s">
        <v>81</v>
      </c>
      <c r="D12" s="8" t="s">
        <v>70</v>
      </c>
      <c r="E12" s="9" t="s">
        <v>82</v>
      </c>
      <c r="F12" s="8" t="s">
        <v>83</v>
      </c>
      <c r="G12" s="8" t="s">
        <v>84</v>
      </c>
      <c r="H12" s="8" t="s">
        <v>85</v>
      </c>
    </row>
    <row r="13" spans="1:8" ht="70" customHeight="1">
      <c r="A13" s="10"/>
      <c r="B13" s="11" t="s">
        <v>33</v>
      </c>
      <c r="C13" s="11" t="s">
        <v>86</v>
      </c>
      <c r="D13" s="11" t="s">
        <v>70</v>
      </c>
      <c r="E13" s="12" t="s">
        <v>87</v>
      </c>
      <c r="F13" s="11" t="s">
        <v>88</v>
      </c>
      <c r="G13" s="11" t="s">
        <v>89</v>
      </c>
      <c r="H13" s="11" t="s">
        <v>90</v>
      </c>
    </row>
    <row r="14" spans="1:8" ht="70" customHeight="1">
      <c r="A14" s="7" t="s">
        <v>91</v>
      </c>
      <c r="B14" s="8" t="s">
        <v>33</v>
      </c>
      <c r="C14" s="8" t="s">
        <v>92</v>
      </c>
      <c r="D14" s="8" t="s">
        <v>93</v>
      </c>
      <c r="E14" s="9" t="s">
        <v>94</v>
      </c>
      <c r="F14" s="8" t="s">
        <v>95</v>
      </c>
      <c r="G14" s="8" t="s">
        <v>96</v>
      </c>
      <c r="H14" s="8" t="s">
        <v>97</v>
      </c>
    </row>
    <row r="15" spans="1:8" ht="70" customHeight="1">
      <c r="A15" s="10"/>
      <c r="B15" s="11" t="s">
        <v>33</v>
      </c>
      <c r="C15" s="11" t="s">
        <v>98</v>
      </c>
      <c r="D15" s="11" t="s">
        <v>93</v>
      </c>
      <c r="E15" s="12" t="s">
        <v>94</v>
      </c>
      <c r="F15" s="11" t="s">
        <v>95</v>
      </c>
      <c r="G15" s="11" t="s">
        <v>96</v>
      </c>
      <c r="H15" s="11" t="s">
        <v>99</v>
      </c>
    </row>
    <row r="16" spans="1:8" ht="70" customHeight="1">
      <c r="A16" s="7" t="s">
        <v>100</v>
      </c>
      <c r="B16" s="8" t="s">
        <v>101</v>
      </c>
      <c r="C16" s="8" t="s">
        <v>102</v>
      </c>
      <c r="D16" s="8" t="s">
        <v>103</v>
      </c>
      <c r="E16" s="9" t="s">
        <v>104</v>
      </c>
      <c r="F16" s="8" t="s">
        <v>105</v>
      </c>
      <c r="G16" s="8" t="s">
        <v>106</v>
      </c>
      <c r="H16" s="8" t="s">
        <v>107</v>
      </c>
    </row>
    <row r="17" spans="1:8" ht="70" customHeight="1">
      <c r="A17" s="10"/>
      <c r="B17" s="11" t="s">
        <v>101</v>
      </c>
      <c r="C17" s="11" t="s">
        <v>108</v>
      </c>
      <c r="D17" s="11" t="s">
        <v>103</v>
      </c>
      <c r="E17" s="12" t="s">
        <v>109</v>
      </c>
      <c r="F17" s="11" t="s">
        <v>110</v>
      </c>
      <c r="G17" s="11" t="s">
        <v>106</v>
      </c>
      <c r="H17" s="11" t="s">
        <v>111</v>
      </c>
    </row>
    <row r="18" spans="1:8" ht="96" customHeight="1">
      <c r="A18" s="7"/>
      <c r="B18" s="8" t="s">
        <v>101</v>
      </c>
      <c r="C18" s="8" t="s">
        <v>112</v>
      </c>
      <c r="D18" s="8" t="s">
        <v>103</v>
      </c>
      <c r="E18" s="9" t="s">
        <v>109</v>
      </c>
      <c r="F18" s="8" t="s">
        <v>110</v>
      </c>
      <c r="G18" s="8" t="s">
        <v>113</v>
      </c>
      <c r="H18" s="8" t="s">
        <v>114</v>
      </c>
    </row>
    <row r="19" spans="1:8" ht="57" customHeight="1">
      <c r="A19" s="10"/>
      <c r="B19" s="11" t="s">
        <v>115</v>
      </c>
      <c r="C19" s="11" t="s">
        <v>102</v>
      </c>
      <c r="D19" s="11" t="s">
        <v>103</v>
      </c>
      <c r="E19" s="12" t="s">
        <v>109</v>
      </c>
      <c r="F19" s="11" t="s">
        <v>110</v>
      </c>
      <c r="G19" s="11" t="s">
        <v>116</v>
      </c>
      <c r="H19" s="11" t="s">
        <v>107</v>
      </c>
    </row>
    <row r="20" spans="1:8" ht="57" customHeight="1">
      <c r="A20" s="7"/>
      <c r="B20" s="8" t="s">
        <v>115</v>
      </c>
      <c r="C20" s="8" t="s">
        <v>108</v>
      </c>
      <c r="D20" s="8" t="s">
        <v>103</v>
      </c>
      <c r="E20" s="9" t="s">
        <v>109</v>
      </c>
      <c r="F20" s="8" t="s">
        <v>110</v>
      </c>
      <c r="G20" s="8" t="s">
        <v>116</v>
      </c>
      <c r="H20" s="8" t="s">
        <v>111</v>
      </c>
    </row>
    <row r="21" spans="1:8" ht="70" customHeight="1">
      <c r="A21" s="10"/>
      <c r="B21" s="11" t="s">
        <v>115</v>
      </c>
      <c r="C21" s="11" t="s">
        <v>112</v>
      </c>
      <c r="D21" s="11" t="s">
        <v>103</v>
      </c>
      <c r="E21" s="12" t="s">
        <v>109</v>
      </c>
      <c r="F21" s="11" t="s">
        <v>110</v>
      </c>
      <c r="G21" s="11" t="s">
        <v>117</v>
      </c>
      <c r="H21" s="11" t="s">
        <v>114</v>
      </c>
    </row>
    <row r="22" spans="1:8" ht="70" customHeight="1">
      <c r="A22" s="7"/>
      <c r="B22" s="8" t="s">
        <v>118</v>
      </c>
      <c r="C22" s="8" t="s">
        <v>119</v>
      </c>
      <c r="D22" s="8" t="s">
        <v>103</v>
      </c>
      <c r="E22" s="9" t="s">
        <v>104</v>
      </c>
      <c r="F22" s="8" t="s">
        <v>105</v>
      </c>
      <c r="G22" s="8" t="s">
        <v>106</v>
      </c>
      <c r="H22" s="8" t="s">
        <v>120</v>
      </c>
    </row>
    <row r="23" spans="1:8" ht="44" customHeight="1">
      <c r="A23" s="10"/>
      <c r="B23" s="11" t="s">
        <v>118</v>
      </c>
      <c r="C23" s="11" t="s">
        <v>121</v>
      </c>
      <c r="D23" s="11" t="s">
        <v>103</v>
      </c>
      <c r="E23" s="12" t="s">
        <v>109</v>
      </c>
      <c r="F23" s="11" t="s">
        <v>110</v>
      </c>
      <c r="G23" s="11" t="s">
        <v>122</v>
      </c>
      <c r="H23" s="11" t="s">
        <v>123</v>
      </c>
    </row>
    <row r="24" spans="1:8" ht="31" customHeight="1">
      <c r="A24" s="7"/>
      <c r="B24" s="8" t="s">
        <v>118</v>
      </c>
      <c r="C24" s="8" t="s">
        <v>124</v>
      </c>
      <c r="D24" s="8" t="s">
        <v>103</v>
      </c>
      <c r="E24" s="9" t="s">
        <v>109</v>
      </c>
      <c r="F24" s="8" t="s">
        <v>110</v>
      </c>
      <c r="G24" s="13" t="s">
        <v>41</v>
      </c>
      <c r="H24" s="8" t="s">
        <v>125</v>
      </c>
    </row>
    <row r="25" spans="1:8" ht="44" customHeight="1">
      <c r="A25" s="10" t="s">
        <v>126</v>
      </c>
      <c r="B25" s="11" t="s">
        <v>33</v>
      </c>
      <c r="C25" s="11" t="s">
        <v>127</v>
      </c>
      <c r="D25" s="11" t="s">
        <v>128</v>
      </c>
      <c r="E25" s="12" t="s">
        <v>129</v>
      </c>
      <c r="F25" s="11" t="s">
        <v>130</v>
      </c>
      <c r="G25" s="11" t="s">
        <v>131</v>
      </c>
      <c r="H25" s="11" t="s">
        <v>132</v>
      </c>
    </row>
    <row r="26" spans="1:8" ht="44" customHeight="1">
      <c r="A26" s="7"/>
      <c r="B26" s="8" t="s">
        <v>33</v>
      </c>
      <c r="C26" s="8" t="s">
        <v>133</v>
      </c>
      <c r="D26" s="8" t="s">
        <v>128</v>
      </c>
      <c r="E26" s="9" t="s">
        <v>129</v>
      </c>
      <c r="F26" s="8" t="s">
        <v>130</v>
      </c>
      <c r="G26" s="8" t="s">
        <v>134</v>
      </c>
      <c r="H26" s="8" t="s">
        <v>135</v>
      </c>
    </row>
    <row r="27" spans="1:8" ht="31" customHeight="1">
      <c r="A27" s="10" t="s">
        <v>136</v>
      </c>
      <c r="B27" s="11" t="s">
        <v>33</v>
      </c>
      <c r="C27" s="11" t="s">
        <v>137</v>
      </c>
      <c r="D27" s="11" t="s">
        <v>138</v>
      </c>
      <c r="E27" s="12" t="s">
        <v>139</v>
      </c>
      <c r="F27" s="11" t="s">
        <v>140</v>
      </c>
      <c r="G27" s="11" t="s">
        <v>141</v>
      </c>
      <c r="H27" s="11" t="s">
        <v>142</v>
      </c>
    </row>
    <row r="28" spans="1:8" ht="57" customHeight="1">
      <c r="A28" s="7"/>
      <c r="B28" s="8" t="s">
        <v>33</v>
      </c>
      <c r="C28" s="8" t="s">
        <v>143</v>
      </c>
      <c r="D28" s="8" t="s">
        <v>138</v>
      </c>
      <c r="E28" s="9" t="s">
        <v>139</v>
      </c>
      <c r="F28" s="8" t="s">
        <v>140</v>
      </c>
      <c r="G28" s="8" t="s">
        <v>144</v>
      </c>
      <c r="H28" s="8" t="s">
        <v>145</v>
      </c>
    </row>
    <row r="29" spans="1:8" ht="44" customHeight="1">
      <c r="A29" s="10"/>
      <c r="B29" s="11" t="s">
        <v>33</v>
      </c>
      <c r="C29" s="11" t="s">
        <v>146</v>
      </c>
      <c r="D29" s="11" t="s">
        <v>138</v>
      </c>
      <c r="E29" s="12" t="s">
        <v>139</v>
      </c>
      <c r="F29" s="11" t="s">
        <v>140</v>
      </c>
      <c r="G29" s="11" t="s">
        <v>147</v>
      </c>
      <c r="H29" s="11" t="s">
        <v>148</v>
      </c>
    </row>
    <row r="30" spans="1:8" ht="31" customHeight="1">
      <c r="A30" s="7" t="s">
        <v>149</v>
      </c>
      <c r="B30" s="8" t="s">
        <v>150</v>
      </c>
      <c r="C30" s="8" t="s">
        <v>150</v>
      </c>
      <c r="D30" s="8" t="s">
        <v>151</v>
      </c>
      <c r="E30" s="9" t="s">
        <v>152</v>
      </c>
      <c r="F30" s="8" t="s">
        <v>153</v>
      </c>
      <c r="G30" s="8" t="s">
        <v>154</v>
      </c>
      <c r="H30" s="8" t="s">
        <v>155</v>
      </c>
    </row>
    <row r="31" spans="1:8" ht="31" customHeight="1">
      <c r="A31" s="10"/>
      <c r="B31" s="11" t="s">
        <v>150</v>
      </c>
      <c r="C31" s="11" t="s">
        <v>156</v>
      </c>
      <c r="D31" s="11" t="s">
        <v>151</v>
      </c>
      <c r="E31" s="12" t="s">
        <v>152</v>
      </c>
      <c r="F31" s="11" t="s">
        <v>153</v>
      </c>
      <c r="G31" s="11" t="s">
        <v>154</v>
      </c>
      <c r="H31" s="11" t="s">
        <v>157</v>
      </c>
    </row>
    <row r="32" spans="1:8" ht="31" customHeight="1">
      <c r="A32" s="7"/>
      <c r="B32" s="8" t="s">
        <v>150</v>
      </c>
      <c r="C32" s="8" t="s">
        <v>158</v>
      </c>
      <c r="D32" s="8" t="s">
        <v>151</v>
      </c>
      <c r="E32" s="9" t="s">
        <v>152</v>
      </c>
      <c r="F32" s="8" t="s">
        <v>153</v>
      </c>
      <c r="G32" s="8" t="s">
        <v>154</v>
      </c>
      <c r="H32" s="8" t="s">
        <v>159</v>
      </c>
    </row>
    <row r="33" spans="1:8" ht="31" customHeight="1">
      <c r="A33" s="10"/>
      <c r="B33" s="11" t="s">
        <v>160</v>
      </c>
      <c r="C33" s="11" t="s">
        <v>161</v>
      </c>
      <c r="D33" s="11" t="s">
        <v>151</v>
      </c>
      <c r="E33" s="12" t="s">
        <v>162</v>
      </c>
      <c r="F33" s="11" t="s">
        <v>163</v>
      </c>
      <c r="G33" s="11" t="s">
        <v>164</v>
      </c>
      <c r="H33" s="11" t="s">
        <v>165</v>
      </c>
    </row>
    <row r="34" spans="1:8" ht="31" customHeight="1">
      <c r="A34" s="7"/>
      <c r="B34" s="8" t="s">
        <v>160</v>
      </c>
      <c r="C34" s="8" t="s">
        <v>166</v>
      </c>
      <c r="D34" s="8" t="s">
        <v>151</v>
      </c>
      <c r="E34" s="9" t="s">
        <v>162</v>
      </c>
      <c r="F34" s="8" t="s">
        <v>163</v>
      </c>
      <c r="G34" s="8" t="s">
        <v>164</v>
      </c>
      <c r="H34" s="8" t="s">
        <v>167</v>
      </c>
    </row>
    <row r="35" spans="1:8" ht="31" customHeight="1">
      <c r="A35" s="10" t="s">
        <v>168</v>
      </c>
      <c r="B35" s="11" t="s">
        <v>33</v>
      </c>
      <c r="C35" s="11" t="s">
        <v>169</v>
      </c>
      <c r="D35" s="11" t="s">
        <v>170</v>
      </c>
      <c r="E35" s="12" t="s">
        <v>33</v>
      </c>
      <c r="F35" s="11" t="s">
        <v>33</v>
      </c>
      <c r="G35" s="11" t="s">
        <v>171</v>
      </c>
      <c r="H35" s="11" t="s">
        <v>172</v>
      </c>
    </row>
    <row r="36" spans="1:8" ht="31" customHeight="1">
      <c r="A36" s="7"/>
      <c r="B36" s="8" t="s">
        <v>33</v>
      </c>
      <c r="C36" s="8" t="s">
        <v>173</v>
      </c>
      <c r="D36" s="8" t="s">
        <v>170</v>
      </c>
      <c r="E36" s="9" t="s">
        <v>33</v>
      </c>
      <c r="F36" s="8" t="s">
        <v>33</v>
      </c>
      <c r="G36" s="8" t="s">
        <v>171</v>
      </c>
      <c r="H36" s="8" t="s">
        <v>174</v>
      </c>
    </row>
    <row r="37" spans="1:8" ht="31" customHeight="1">
      <c r="A37" s="10"/>
      <c r="B37" s="11" t="s">
        <v>33</v>
      </c>
      <c r="C37" s="11" t="s">
        <v>175</v>
      </c>
      <c r="D37" s="11" t="s">
        <v>170</v>
      </c>
      <c r="E37" s="12" t="s">
        <v>33</v>
      </c>
      <c r="F37" s="11" t="s">
        <v>33</v>
      </c>
      <c r="G37" s="11" t="s">
        <v>171</v>
      </c>
      <c r="H37" s="11" t="s">
        <v>176</v>
      </c>
    </row>
    <row r="38" spans="1:8" ht="31" customHeight="1">
      <c r="A38" s="7" t="s">
        <v>177</v>
      </c>
      <c r="B38" s="8" t="s">
        <v>33</v>
      </c>
      <c r="C38" s="8" t="s">
        <v>178</v>
      </c>
      <c r="D38" s="8" t="s">
        <v>179</v>
      </c>
      <c r="E38" s="9" t="s">
        <v>180</v>
      </c>
      <c r="F38" s="8" t="s">
        <v>181</v>
      </c>
      <c r="G38" s="8" t="s">
        <v>182</v>
      </c>
      <c r="H38" s="8" t="s">
        <v>183</v>
      </c>
    </row>
    <row r="39" spans="1:8" ht="31" customHeight="1">
      <c r="A39" s="10"/>
      <c r="B39" s="11" t="s">
        <v>33</v>
      </c>
      <c r="C39" s="11" t="s">
        <v>184</v>
      </c>
      <c r="D39" s="11" t="s">
        <v>179</v>
      </c>
      <c r="E39" s="12" t="s">
        <v>185</v>
      </c>
      <c r="F39" s="11" t="s">
        <v>186</v>
      </c>
      <c r="G39" s="13" t="s">
        <v>41</v>
      </c>
      <c r="H39" s="11" t="s">
        <v>187</v>
      </c>
    </row>
    <row r="40" spans="1:8" ht="31" customHeight="1">
      <c r="A40" s="7"/>
      <c r="B40" s="8" t="s">
        <v>33</v>
      </c>
      <c r="C40" s="8" t="s">
        <v>188</v>
      </c>
      <c r="D40" s="8" t="s">
        <v>179</v>
      </c>
      <c r="E40" s="9" t="s">
        <v>33</v>
      </c>
      <c r="F40" s="8" t="s">
        <v>33</v>
      </c>
      <c r="G40" s="13" t="s">
        <v>41</v>
      </c>
      <c r="H40" s="8" t="s">
        <v>189</v>
      </c>
    </row>
    <row r="41" spans="1:8" ht="31" customHeight="1">
      <c r="A41" s="10" t="s">
        <v>190</v>
      </c>
      <c r="B41" s="11" t="s">
        <v>191</v>
      </c>
      <c r="C41" s="11" t="s">
        <v>192</v>
      </c>
      <c r="D41" s="11" t="s">
        <v>193</v>
      </c>
      <c r="E41" s="12" t="s">
        <v>194</v>
      </c>
      <c r="F41" s="11" t="s">
        <v>195</v>
      </c>
      <c r="G41" s="13" t="s">
        <v>41</v>
      </c>
      <c r="H41" s="11" t="s">
        <v>196</v>
      </c>
    </row>
    <row r="42" spans="1:8" ht="31" customHeight="1">
      <c r="A42" s="7"/>
      <c r="B42" s="8" t="s">
        <v>191</v>
      </c>
      <c r="C42" s="8" t="s">
        <v>197</v>
      </c>
      <c r="D42" s="8" t="s">
        <v>193</v>
      </c>
      <c r="E42" s="9" t="s">
        <v>33</v>
      </c>
      <c r="F42" s="8" t="s">
        <v>33</v>
      </c>
      <c r="G42" s="13" t="s">
        <v>41</v>
      </c>
      <c r="H42" s="8" t="s">
        <v>198</v>
      </c>
    </row>
    <row r="43" spans="1:8" ht="31" customHeight="1">
      <c r="A43" s="10"/>
      <c r="B43" s="11" t="s">
        <v>191</v>
      </c>
      <c r="C43" s="11" t="s">
        <v>199</v>
      </c>
      <c r="D43" s="11" t="s">
        <v>193</v>
      </c>
      <c r="E43" s="12" t="s">
        <v>33</v>
      </c>
      <c r="F43" s="11" t="s">
        <v>33</v>
      </c>
      <c r="G43" s="13" t="s">
        <v>41</v>
      </c>
      <c r="H43" s="11" t="s">
        <v>200</v>
      </c>
    </row>
    <row r="44" spans="1:8" ht="31" customHeight="1">
      <c r="A44" s="7"/>
      <c r="B44" s="8" t="s">
        <v>201</v>
      </c>
      <c r="C44" s="8" t="s">
        <v>202</v>
      </c>
      <c r="D44" s="8" t="s">
        <v>193</v>
      </c>
      <c r="E44" s="9" t="s">
        <v>33</v>
      </c>
      <c r="F44" s="8" t="s">
        <v>33</v>
      </c>
      <c r="G44" s="13" t="s">
        <v>41</v>
      </c>
      <c r="H44" s="8" t="s">
        <v>203</v>
      </c>
    </row>
    <row r="45" spans="1:8" ht="31" customHeight="1">
      <c r="A45" s="10"/>
      <c r="B45" s="11" t="s">
        <v>201</v>
      </c>
      <c r="C45" s="11" t="s">
        <v>204</v>
      </c>
      <c r="D45" s="11" t="s">
        <v>193</v>
      </c>
      <c r="E45" s="12" t="s">
        <v>33</v>
      </c>
      <c r="F45" s="11" t="s">
        <v>33</v>
      </c>
      <c r="G45" s="13" t="s">
        <v>41</v>
      </c>
      <c r="H45" s="11" t="s">
        <v>205</v>
      </c>
    </row>
    <row r="46" spans="1:8" ht="31" customHeight="1">
      <c r="A46" s="7"/>
      <c r="B46" s="8" t="s">
        <v>201</v>
      </c>
      <c r="C46" s="8" t="s">
        <v>206</v>
      </c>
      <c r="D46" s="8" t="s">
        <v>193</v>
      </c>
      <c r="E46" s="9" t="s">
        <v>33</v>
      </c>
      <c r="F46" s="8" t="s">
        <v>33</v>
      </c>
      <c r="G46" s="13" t="s">
        <v>41</v>
      </c>
      <c r="H46" s="8" t="s">
        <v>207</v>
      </c>
    </row>
    <row r="47" spans="1:8" ht="31" customHeight="1">
      <c r="A47" s="10"/>
      <c r="B47" s="11" t="s">
        <v>208</v>
      </c>
      <c r="C47" s="11" t="s">
        <v>209</v>
      </c>
      <c r="D47" s="11" t="s">
        <v>193</v>
      </c>
      <c r="E47" s="12" t="s">
        <v>33</v>
      </c>
      <c r="F47" s="11" t="s">
        <v>33</v>
      </c>
      <c r="G47" s="13" t="s">
        <v>41</v>
      </c>
      <c r="H47" s="11" t="s">
        <v>210</v>
      </c>
    </row>
    <row r="48" spans="1:8" ht="31" customHeight="1">
      <c r="A48" s="7"/>
      <c r="B48" s="8" t="s">
        <v>208</v>
      </c>
      <c r="C48" s="8" t="s">
        <v>211</v>
      </c>
      <c r="D48" s="8" t="s">
        <v>193</v>
      </c>
      <c r="E48" s="9" t="s">
        <v>212</v>
      </c>
      <c r="F48" s="8" t="s">
        <v>213</v>
      </c>
      <c r="G48" s="13" t="s">
        <v>41</v>
      </c>
      <c r="H48" s="8" t="s">
        <v>214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2" customWidth="1"/>
    <col min="2" max="2" width="40" customWidth="1"/>
    <col min="3" max="3" width="30" customWidth="1"/>
    <col min="4" max="4" width="10" customWidth="1"/>
    <col min="5" max="5" width="74" customWidth="1"/>
  </cols>
  <sheetData>
    <row r="1" spans="1:5" ht="34" customHeight="1">
      <c r="A1" s="6" t="s">
        <v>215</v>
      </c>
      <c r="B1" s="6" t="s">
        <v>29</v>
      </c>
      <c r="C1" s="6" t="s">
        <v>216</v>
      </c>
      <c r="D1" s="6" t="s">
        <v>217</v>
      </c>
      <c r="E1" s="6" t="s">
        <v>218</v>
      </c>
    </row>
    <row r="2" spans="1:5" ht="30" customHeight="1">
      <c r="A2" s="14" t="s">
        <v>219</v>
      </c>
      <c r="B2" s="8" t="s">
        <v>220</v>
      </c>
      <c r="C2" s="8" t="s">
        <v>190</v>
      </c>
      <c r="D2" s="15">
        <v>0</v>
      </c>
      <c r="E2" s="8" t="s">
        <v>221</v>
      </c>
    </row>
    <row r="3" spans="1:5" ht="30" customHeight="1">
      <c r="A3" s="16" t="s">
        <v>47</v>
      </c>
      <c r="B3" s="11" t="s">
        <v>48</v>
      </c>
      <c r="C3" s="11" t="s">
        <v>43</v>
      </c>
      <c r="D3" s="17">
        <v>5</v>
      </c>
      <c r="E3" s="11" t="s">
        <v>222</v>
      </c>
    </row>
    <row r="4" spans="1:5" ht="30" customHeight="1">
      <c r="A4" s="14" t="s">
        <v>223</v>
      </c>
      <c r="B4" s="8" t="s">
        <v>224</v>
      </c>
      <c r="C4" s="8" t="s">
        <v>91</v>
      </c>
      <c r="D4" s="15">
        <v>0</v>
      </c>
      <c r="E4" s="8" t="s">
        <v>221</v>
      </c>
    </row>
    <row r="5" spans="1:5" ht="30" customHeight="1">
      <c r="A5" s="16" t="s">
        <v>109</v>
      </c>
      <c r="B5" s="11" t="s">
        <v>110</v>
      </c>
      <c r="C5" s="11" t="s">
        <v>225</v>
      </c>
      <c r="D5" s="17">
        <v>9</v>
      </c>
      <c r="E5" s="11" t="s">
        <v>226</v>
      </c>
    </row>
    <row r="6" spans="1:5" ht="30" customHeight="1">
      <c r="A6" s="14" t="s">
        <v>71</v>
      </c>
      <c r="B6" s="8" t="s">
        <v>72</v>
      </c>
      <c r="C6" s="8" t="s">
        <v>67</v>
      </c>
      <c r="D6" s="15">
        <v>1</v>
      </c>
      <c r="E6" s="8" t="s">
        <v>69</v>
      </c>
    </row>
    <row r="7" spans="1:5" ht="30" customHeight="1">
      <c r="A7" s="16" t="s">
        <v>227</v>
      </c>
      <c r="B7" s="11" t="s">
        <v>228</v>
      </c>
      <c r="C7" s="11" t="s">
        <v>67</v>
      </c>
      <c r="D7" s="17">
        <v>1</v>
      </c>
      <c r="E7" s="11" t="s">
        <v>75</v>
      </c>
    </row>
    <row r="8" spans="1:5" ht="30" customHeight="1">
      <c r="A8" s="14" t="s">
        <v>94</v>
      </c>
      <c r="B8" s="8" t="s">
        <v>95</v>
      </c>
      <c r="C8" s="8" t="s">
        <v>91</v>
      </c>
      <c r="D8" s="15">
        <v>2</v>
      </c>
      <c r="E8" s="8" t="s">
        <v>229</v>
      </c>
    </row>
    <row r="9" spans="1:5" ht="30" customHeight="1">
      <c r="A9" s="16" t="s">
        <v>162</v>
      </c>
      <c r="B9" s="11" t="s">
        <v>163</v>
      </c>
      <c r="C9" s="11" t="s">
        <v>230</v>
      </c>
      <c r="D9" s="17">
        <v>3</v>
      </c>
      <c r="E9" s="11" t="s">
        <v>231</v>
      </c>
    </row>
    <row r="10" spans="1:5" ht="30" customHeight="1">
      <c r="A10" s="14" t="s">
        <v>152</v>
      </c>
      <c r="B10" s="8" t="s">
        <v>153</v>
      </c>
      <c r="C10" s="8" t="s">
        <v>230</v>
      </c>
      <c r="D10" s="15">
        <v>4</v>
      </c>
      <c r="E10" s="8" t="s">
        <v>232</v>
      </c>
    </row>
    <row r="11" spans="1:5" ht="30" customHeight="1">
      <c r="A11" s="16" t="s">
        <v>129</v>
      </c>
      <c r="B11" s="11" t="s">
        <v>130</v>
      </c>
      <c r="C11" s="11" t="s">
        <v>233</v>
      </c>
      <c r="D11" s="17">
        <v>5</v>
      </c>
      <c r="E11" s="11" t="s">
        <v>234</v>
      </c>
    </row>
    <row r="12" spans="1:5" ht="30" customHeight="1">
      <c r="A12" s="14" t="s">
        <v>139</v>
      </c>
      <c r="B12" s="8" t="s">
        <v>140</v>
      </c>
      <c r="C12" s="8" t="s">
        <v>136</v>
      </c>
      <c r="D12" s="15">
        <v>3</v>
      </c>
      <c r="E12" s="8" t="s">
        <v>235</v>
      </c>
    </row>
    <row r="13" spans="1:5" ht="30" customHeight="1">
      <c r="A13" s="16" t="s">
        <v>236</v>
      </c>
      <c r="B13" s="11" t="s">
        <v>237</v>
      </c>
      <c r="C13" s="11" t="s">
        <v>168</v>
      </c>
      <c r="D13" s="17">
        <v>0</v>
      </c>
      <c r="E13" s="11" t="s">
        <v>221</v>
      </c>
    </row>
    <row r="14" spans="1:5" ht="30" customHeight="1">
      <c r="A14" s="14" t="s">
        <v>87</v>
      </c>
      <c r="B14" s="8" t="s">
        <v>88</v>
      </c>
      <c r="C14" s="8" t="s">
        <v>67</v>
      </c>
      <c r="D14" s="15">
        <v>1</v>
      </c>
      <c r="E14" s="8" t="s">
        <v>86</v>
      </c>
    </row>
    <row r="15" spans="1:5" ht="30" customHeight="1">
      <c r="A15" s="16" t="s">
        <v>238</v>
      </c>
      <c r="B15" s="11" t="s">
        <v>239</v>
      </c>
      <c r="C15" s="11" t="s">
        <v>240</v>
      </c>
      <c r="D15" s="17">
        <v>1</v>
      </c>
      <c r="E15" s="11" t="s">
        <v>81</v>
      </c>
    </row>
    <row r="16" spans="1:5" ht="30" customHeight="1">
      <c r="A16" s="14" t="s">
        <v>194</v>
      </c>
      <c r="B16" s="8" t="s">
        <v>195</v>
      </c>
      <c r="C16" s="8" t="s">
        <v>190</v>
      </c>
      <c r="D16" s="15">
        <v>1</v>
      </c>
      <c r="E16" s="8" t="s">
        <v>192</v>
      </c>
    </row>
    <row r="17" spans="1:5" ht="30" customHeight="1">
      <c r="A17" s="16" t="s">
        <v>52</v>
      </c>
      <c r="B17" s="11" t="s">
        <v>53</v>
      </c>
      <c r="C17" s="11" t="s">
        <v>241</v>
      </c>
      <c r="D17" s="17">
        <v>1</v>
      </c>
      <c r="E17" s="11" t="s">
        <v>51</v>
      </c>
    </row>
    <row r="18" spans="1:5" ht="30" customHeight="1">
      <c r="A18" s="14" t="s">
        <v>212</v>
      </c>
      <c r="B18" s="8" t="s">
        <v>213</v>
      </c>
      <c r="C18" s="8" t="s">
        <v>242</v>
      </c>
      <c r="D18" s="15">
        <v>1</v>
      </c>
      <c r="E18" s="8" t="s">
        <v>211</v>
      </c>
    </row>
    <row r="19" spans="1:5" ht="30" customHeight="1">
      <c r="A19" s="16" t="s">
        <v>180</v>
      </c>
      <c r="B19" s="11" t="s">
        <v>181</v>
      </c>
      <c r="C19" s="11" t="s">
        <v>177</v>
      </c>
      <c r="D19" s="17">
        <v>1</v>
      </c>
      <c r="E19" s="11" t="s">
        <v>178</v>
      </c>
    </row>
    <row r="20" spans="1:5" ht="30" customHeight="1">
      <c r="A20" s="14" t="s">
        <v>243</v>
      </c>
      <c r="B20" s="8" t="s">
        <v>244</v>
      </c>
      <c r="C20" s="8" t="s">
        <v>91</v>
      </c>
      <c r="D20" s="15">
        <v>0</v>
      </c>
      <c r="E20" s="8" t="s">
        <v>221</v>
      </c>
    </row>
    <row r="21" spans="1:5" ht="30" customHeight="1">
      <c r="A21" s="16" t="s">
        <v>36</v>
      </c>
      <c r="B21" s="11" t="s">
        <v>37</v>
      </c>
      <c r="C21" s="11" t="s">
        <v>32</v>
      </c>
      <c r="D21" s="17">
        <v>1</v>
      </c>
      <c r="E21" s="11" t="s">
        <v>34</v>
      </c>
    </row>
    <row r="22" spans="1:5" ht="30" customHeight="1">
      <c r="A22" s="14" t="s">
        <v>185</v>
      </c>
      <c r="B22" s="8" t="s">
        <v>186</v>
      </c>
      <c r="C22" s="8" t="s">
        <v>177</v>
      </c>
      <c r="D22" s="15">
        <v>1</v>
      </c>
      <c r="E22" s="8" t="s">
        <v>184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4" customWidth="1"/>
    <col min="2" max="2" width="18" customWidth="1"/>
    <col min="3" max="3" width="46" customWidth="1"/>
    <col min="4" max="4" width="18.5" customWidth="1"/>
    <col min="5" max="5" width="66" customWidth="1"/>
  </cols>
  <sheetData>
    <row r="1" spans="1:5" ht="34" customHeight="1">
      <c r="A1" s="6" t="s">
        <v>245</v>
      </c>
      <c r="B1" s="6" t="s">
        <v>246</v>
      </c>
      <c r="C1" s="6" t="s">
        <v>247</v>
      </c>
      <c r="D1" s="6" t="s">
        <v>248</v>
      </c>
      <c r="E1" s="6" t="s">
        <v>218</v>
      </c>
    </row>
    <row r="2" spans="1:5" ht="28" customHeight="1">
      <c r="A2" s="8" t="s">
        <v>249</v>
      </c>
      <c r="B2" s="8" t="s">
        <v>250</v>
      </c>
      <c r="C2" s="8" t="s">
        <v>251</v>
      </c>
      <c r="D2" s="15">
        <v>2</v>
      </c>
      <c r="E2" s="8" t="s">
        <v>252</v>
      </c>
    </row>
    <row r="3" spans="1:5" ht="28" customHeight="1">
      <c r="A3" s="11" t="s">
        <v>253</v>
      </c>
      <c r="B3" s="11" t="s">
        <v>254</v>
      </c>
      <c r="C3" s="11" t="s">
        <v>127</v>
      </c>
      <c r="D3" s="17">
        <v>1</v>
      </c>
      <c r="E3" s="11" t="s">
        <v>255</v>
      </c>
    </row>
    <row r="4" spans="1:5" ht="28" customHeight="1">
      <c r="A4" s="8" t="s">
        <v>253</v>
      </c>
      <c r="B4" s="8" t="s">
        <v>256</v>
      </c>
      <c r="C4" s="8" t="s">
        <v>257</v>
      </c>
      <c r="D4" s="15">
        <v>1</v>
      </c>
      <c r="E4" s="8" t="s">
        <v>258</v>
      </c>
    </row>
    <row r="5" spans="1:5" ht="28" customHeight="1">
      <c r="A5" s="11" t="s">
        <v>253</v>
      </c>
      <c r="B5" s="11" t="s">
        <v>250</v>
      </c>
      <c r="C5" s="11" t="s">
        <v>259</v>
      </c>
      <c r="D5" s="17">
        <v>2</v>
      </c>
      <c r="E5" s="11" t="s">
        <v>260</v>
      </c>
    </row>
    <row r="6" spans="1:5" ht="28" customHeight="1">
      <c r="A6" s="8" t="s">
        <v>253</v>
      </c>
      <c r="B6" s="8" t="s">
        <v>261</v>
      </c>
      <c r="C6" s="8" t="s">
        <v>262</v>
      </c>
      <c r="D6" s="15">
        <v>3</v>
      </c>
      <c r="E6" s="8" t="s">
        <v>263</v>
      </c>
    </row>
    <row r="7" spans="1:5" ht="28" customHeight="1">
      <c r="A7" s="11" t="s">
        <v>253</v>
      </c>
      <c r="B7" s="11" t="s">
        <v>264</v>
      </c>
      <c r="C7" s="11" t="s">
        <v>115</v>
      </c>
      <c r="D7" s="17">
        <v>1</v>
      </c>
      <c r="E7" s="11" t="s">
        <v>265</v>
      </c>
    </row>
    <row r="8" spans="1:5" ht="28" customHeight="1">
      <c r="A8" s="8" t="s">
        <v>253</v>
      </c>
      <c r="B8" s="8" t="s">
        <v>266</v>
      </c>
      <c r="C8" s="8" t="s">
        <v>267</v>
      </c>
      <c r="D8" s="15">
        <v>1</v>
      </c>
      <c r="E8" s="8" t="s">
        <v>265</v>
      </c>
    </row>
    <row r="9" spans="1:5" ht="28" customHeight="1">
      <c r="A9" s="11" t="s">
        <v>253</v>
      </c>
      <c r="B9" s="11" t="s">
        <v>268</v>
      </c>
      <c r="C9" s="11" t="s">
        <v>269</v>
      </c>
      <c r="D9" s="17">
        <v>1</v>
      </c>
      <c r="E9" s="11" t="s">
        <v>265</v>
      </c>
    </row>
    <row r="10" spans="1:5" ht="28" customHeight="1">
      <c r="A10" s="8" t="s">
        <v>253</v>
      </c>
      <c r="B10" s="8" t="s">
        <v>270</v>
      </c>
      <c r="C10" s="8" t="s">
        <v>143</v>
      </c>
      <c r="D10" s="15">
        <v>1</v>
      </c>
      <c r="E10" s="8" t="s">
        <v>271</v>
      </c>
    </row>
    <row r="11" spans="1:5" ht="28" customHeight="1">
      <c r="A11" s="11" t="s">
        <v>253</v>
      </c>
      <c r="B11" s="11" t="s">
        <v>272</v>
      </c>
      <c r="C11" s="11" t="s">
        <v>273</v>
      </c>
      <c r="D11" s="17">
        <v>8</v>
      </c>
      <c r="E11" s="11" t="s">
        <v>274</v>
      </c>
    </row>
    <row r="12" spans="1:5" ht="28" customHeight="1">
      <c r="A12" s="8" t="s">
        <v>253</v>
      </c>
      <c r="B12" s="8" t="s">
        <v>275</v>
      </c>
      <c r="C12" s="8" t="s">
        <v>276</v>
      </c>
      <c r="D12" s="15">
        <v>1</v>
      </c>
      <c r="E12" s="8" t="s">
        <v>277</v>
      </c>
    </row>
    <row r="13" spans="1:5" ht="28" customHeight="1">
      <c r="A13" s="11" t="s">
        <v>253</v>
      </c>
      <c r="B13" s="11" t="s">
        <v>278</v>
      </c>
      <c r="C13" s="11" t="s">
        <v>279</v>
      </c>
      <c r="D13" s="17">
        <v>2</v>
      </c>
      <c r="E13" s="11" t="s">
        <v>252</v>
      </c>
    </row>
    <row r="14" spans="1:5" ht="28" customHeight="1">
      <c r="A14" s="8" t="s">
        <v>253</v>
      </c>
      <c r="B14" s="8" t="s">
        <v>280</v>
      </c>
      <c r="C14" s="8" t="s">
        <v>281</v>
      </c>
      <c r="D14" s="15">
        <v>1</v>
      </c>
      <c r="E14" s="8" t="s">
        <v>282</v>
      </c>
    </row>
    <row r="15" spans="1:5" ht="28" customHeight="1">
      <c r="A15" s="11" t="s">
        <v>253</v>
      </c>
      <c r="B15" s="11" t="s">
        <v>283</v>
      </c>
      <c r="C15" s="11" t="s">
        <v>284</v>
      </c>
      <c r="D15" s="17">
        <v>2</v>
      </c>
      <c r="E15" s="11" t="s">
        <v>285</v>
      </c>
    </row>
    <row r="16" spans="1:5" ht="28" customHeight="1">
      <c r="A16" s="8" t="s">
        <v>286</v>
      </c>
      <c r="B16" s="8" t="s">
        <v>287</v>
      </c>
      <c r="C16" s="8" t="s">
        <v>288</v>
      </c>
      <c r="D16" s="15">
        <v>7</v>
      </c>
      <c r="E16" s="8" t="s">
        <v>289</v>
      </c>
    </row>
    <row r="17" spans="1:5" ht="28" customHeight="1">
      <c r="A17" s="11" t="s">
        <v>286</v>
      </c>
      <c r="B17" s="11" t="s">
        <v>290</v>
      </c>
      <c r="C17" s="11" t="s">
        <v>291</v>
      </c>
      <c r="D17" s="17">
        <v>2</v>
      </c>
      <c r="E17" s="11" t="s">
        <v>292</v>
      </c>
    </row>
    <row r="18" spans="1:5" ht="28" customHeight="1">
      <c r="A18" s="8" t="s">
        <v>286</v>
      </c>
      <c r="B18" s="8" t="s">
        <v>293</v>
      </c>
      <c r="C18" s="8" t="s">
        <v>294</v>
      </c>
      <c r="D18" s="15">
        <v>1</v>
      </c>
      <c r="E18" s="8" t="s">
        <v>255</v>
      </c>
    </row>
    <row r="19" spans="1:5" ht="28" customHeight="1">
      <c r="A19" s="11" t="s">
        <v>286</v>
      </c>
      <c r="B19" s="11" t="s">
        <v>295</v>
      </c>
      <c r="C19" s="11" t="s">
        <v>296</v>
      </c>
      <c r="D19" s="17">
        <v>1</v>
      </c>
      <c r="E19" s="11" t="s">
        <v>258</v>
      </c>
    </row>
    <row r="20" spans="1:5" ht="28" customHeight="1">
      <c r="A20" s="8" t="s">
        <v>286</v>
      </c>
      <c r="B20" s="8" t="s">
        <v>297</v>
      </c>
      <c r="C20" s="8" t="s">
        <v>298</v>
      </c>
      <c r="D20" s="15">
        <v>2</v>
      </c>
      <c r="E20" s="8" t="s">
        <v>252</v>
      </c>
    </row>
    <row r="21" spans="1:5" ht="28" customHeight="1">
      <c r="A21" s="11" t="s">
        <v>299</v>
      </c>
      <c r="B21" s="11" t="s">
        <v>300</v>
      </c>
      <c r="C21" s="11" t="s">
        <v>301</v>
      </c>
      <c r="D21" s="17">
        <v>8</v>
      </c>
      <c r="E21" s="11" t="s">
        <v>274</v>
      </c>
    </row>
    <row r="22" spans="1:5" ht="28" customHeight="1">
      <c r="A22" s="8" t="s">
        <v>299</v>
      </c>
      <c r="B22" s="8" t="s">
        <v>297</v>
      </c>
      <c r="C22" s="8" t="s">
        <v>302</v>
      </c>
      <c r="D22" s="15">
        <v>1</v>
      </c>
      <c r="E22" s="8" t="s">
        <v>271</v>
      </c>
    </row>
    <row r="23" spans="1:5" ht="28" customHeight="1">
      <c r="A23" s="11" t="s">
        <v>303</v>
      </c>
      <c r="B23" s="11" t="s">
        <v>304</v>
      </c>
      <c r="C23" s="11" t="s">
        <v>305</v>
      </c>
      <c r="D23" s="17">
        <v>1</v>
      </c>
      <c r="E23" s="11" t="s">
        <v>306</v>
      </c>
    </row>
    <row r="24" spans="1:5" ht="28" customHeight="1">
      <c r="A24" s="8" t="s">
        <v>303</v>
      </c>
      <c r="B24" s="8" t="s">
        <v>264</v>
      </c>
      <c r="C24" s="8" t="s">
        <v>307</v>
      </c>
      <c r="D24" s="15">
        <v>1</v>
      </c>
      <c r="E24" s="8" t="s">
        <v>306</v>
      </c>
    </row>
    <row r="25" spans="1:5" ht="28" customHeight="1">
      <c r="A25" s="11" t="s">
        <v>303</v>
      </c>
      <c r="B25" s="11" t="s">
        <v>308</v>
      </c>
      <c r="C25" s="11" t="s">
        <v>309</v>
      </c>
      <c r="D25" s="17">
        <v>2</v>
      </c>
      <c r="E25" s="11" t="s">
        <v>310</v>
      </c>
    </row>
    <row r="26" spans="1:5" ht="28" customHeight="1">
      <c r="A26" s="8" t="s">
        <v>311</v>
      </c>
      <c r="B26" s="8" t="s">
        <v>312</v>
      </c>
      <c r="C26" s="8" t="s">
        <v>313</v>
      </c>
      <c r="D26" s="15">
        <v>1</v>
      </c>
      <c r="E26" s="8" t="s">
        <v>306</v>
      </c>
    </row>
    <row r="27" spans="1:5" ht="28" customHeight="1">
      <c r="A27" s="11" t="s">
        <v>311</v>
      </c>
      <c r="B27" s="11" t="s">
        <v>314</v>
      </c>
      <c r="C27" s="11" t="s">
        <v>315</v>
      </c>
      <c r="D27" s="17">
        <v>1</v>
      </c>
      <c r="E27" s="11" t="s">
        <v>306</v>
      </c>
    </row>
    <row r="28" spans="1:5" ht="28" customHeight="1">
      <c r="A28" s="8" t="s">
        <v>316</v>
      </c>
      <c r="B28" s="8" t="s">
        <v>317</v>
      </c>
      <c r="C28" s="8" t="s">
        <v>318</v>
      </c>
      <c r="D28" s="15">
        <v>4</v>
      </c>
      <c r="E28" s="8" t="s">
        <v>319</v>
      </c>
    </row>
    <row r="29" spans="1:5" ht="28" customHeight="1">
      <c r="A29" s="11" t="s">
        <v>316</v>
      </c>
      <c r="B29" s="11" t="s">
        <v>320</v>
      </c>
      <c r="C29" s="11" t="s">
        <v>321</v>
      </c>
      <c r="D29" s="17">
        <v>1</v>
      </c>
      <c r="E29" s="11" t="s">
        <v>282</v>
      </c>
    </row>
    <row r="30" spans="1:5" ht="28" customHeight="1">
      <c r="A30" s="8" t="s">
        <v>316</v>
      </c>
      <c r="B30" s="8" t="s">
        <v>322</v>
      </c>
      <c r="C30" s="8" t="s">
        <v>323</v>
      </c>
      <c r="D30" s="15">
        <v>3</v>
      </c>
      <c r="E30" s="8" t="s">
        <v>324</v>
      </c>
    </row>
    <row r="31" spans="1:5" ht="28" customHeight="1">
      <c r="A31" s="11" t="s">
        <v>325</v>
      </c>
      <c r="B31" s="11" t="s">
        <v>326</v>
      </c>
      <c r="C31" s="11" t="s">
        <v>327</v>
      </c>
      <c r="D31" s="17">
        <v>1</v>
      </c>
      <c r="E31" s="11" t="s">
        <v>328</v>
      </c>
    </row>
    <row r="32" spans="1:5" ht="28" customHeight="1">
      <c r="A32" s="8" t="s">
        <v>325</v>
      </c>
      <c r="B32" s="8" t="s">
        <v>312</v>
      </c>
      <c r="C32" s="8" t="s">
        <v>329</v>
      </c>
      <c r="D32" s="15">
        <v>1</v>
      </c>
      <c r="E32" s="8" t="s">
        <v>328</v>
      </c>
    </row>
    <row r="33" spans="1:5" ht="28" customHeight="1">
      <c r="A33" s="11" t="s">
        <v>325</v>
      </c>
      <c r="B33" s="11" t="s">
        <v>330</v>
      </c>
      <c r="C33" s="11" t="s">
        <v>331</v>
      </c>
      <c r="D33" s="17">
        <v>2</v>
      </c>
      <c r="E33" s="11" t="s">
        <v>332</v>
      </c>
    </row>
    <row r="34" spans="1:5" ht="28" customHeight="1">
      <c r="A34" s="8" t="s">
        <v>325</v>
      </c>
      <c r="B34" s="8" t="s">
        <v>304</v>
      </c>
      <c r="C34" s="8" t="s">
        <v>333</v>
      </c>
      <c r="D34" s="15">
        <v>1</v>
      </c>
      <c r="E34" s="8" t="s">
        <v>334</v>
      </c>
    </row>
    <row r="35" spans="1:5" ht="28" customHeight="1">
      <c r="A35" s="11" t="s">
        <v>325</v>
      </c>
      <c r="B35" s="11" t="s">
        <v>335</v>
      </c>
      <c r="C35" s="11" t="s">
        <v>336</v>
      </c>
      <c r="D35" s="17">
        <v>1</v>
      </c>
      <c r="E35" s="11" t="s">
        <v>337</v>
      </c>
    </row>
    <row r="36" spans="1:5" ht="28" customHeight="1">
      <c r="A36" s="8" t="s">
        <v>325</v>
      </c>
      <c r="B36" s="8" t="s">
        <v>338</v>
      </c>
      <c r="C36" s="8" t="s">
        <v>339</v>
      </c>
      <c r="D36" s="15">
        <v>1</v>
      </c>
      <c r="E36" s="8" t="s">
        <v>265</v>
      </c>
    </row>
    <row r="37" spans="1:5" ht="28" customHeight="1">
      <c r="A37" s="11" t="s">
        <v>325</v>
      </c>
      <c r="B37" s="11" t="s">
        <v>340</v>
      </c>
      <c r="C37" s="11" t="s">
        <v>341</v>
      </c>
      <c r="D37" s="17">
        <v>3</v>
      </c>
      <c r="E37" s="11" t="s">
        <v>342</v>
      </c>
    </row>
    <row r="38" spans="1:5" ht="28" customHeight="1">
      <c r="A38" s="8" t="s">
        <v>325</v>
      </c>
      <c r="B38" s="8" t="s">
        <v>343</v>
      </c>
      <c r="C38" s="8" t="s">
        <v>344</v>
      </c>
      <c r="D38" s="15">
        <v>2</v>
      </c>
      <c r="E38" s="8" t="s">
        <v>345</v>
      </c>
    </row>
    <row r="39" spans="1:5" ht="28" customHeight="1">
      <c r="A39" s="11" t="s">
        <v>325</v>
      </c>
      <c r="B39" s="11" t="s">
        <v>346</v>
      </c>
      <c r="C39" s="11" t="s">
        <v>347</v>
      </c>
      <c r="D39" s="17">
        <v>4</v>
      </c>
      <c r="E39" s="11" t="s">
        <v>348</v>
      </c>
    </row>
    <row r="40" spans="1:5" ht="28" customHeight="1">
      <c r="A40" s="8" t="s">
        <v>325</v>
      </c>
      <c r="B40" s="8" t="s">
        <v>349</v>
      </c>
      <c r="C40" s="8" t="s">
        <v>350</v>
      </c>
      <c r="D40" s="15">
        <v>1</v>
      </c>
      <c r="E40" s="8" t="s">
        <v>265</v>
      </c>
    </row>
    <row r="41" spans="1:5" ht="28" customHeight="1">
      <c r="A41" s="11" t="s">
        <v>325</v>
      </c>
      <c r="B41" s="11" t="s">
        <v>351</v>
      </c>
      <c r="C41" s="11" t="s">
        <v>352</v>
      </c>
      <c r="D41" s="17">
        <v>3</v>
      </c>
      <c r="E41" s="11" t="s">
        <v>353</v>
      </c>
    </row>
    <row r="42" spans="1:5" ht="28" customHeight="1">
      <c r="A42" s="8" t="s">
        <v>325</v>
      </c>
      <c r="B42" s="8" t="s">
        <v>354</v>
      </c>
      <c r="C42" s="8" t="s">
        <v>355</v>
      </c>
      <c r="D42" s="15">
        <v>1</v>
      </c>
      <c r="E42" s="8" t="s">
        <v>282</v>
      </c>
    </row>
    <row r="43" spans="1:5" ht="28" customHeight="1">
      <c r="A43" s="11" t="s">
        <v>325</v>
      </c>
      <c r="B43" s="11" t="s">
        <v>320</v>
      </c>
      <c r="C43" s="11" t="s">
        <v>356</v>
      </c>
      <c r="D43" s="17">
        <v>6</v>
      </c>
      <c r="E43" s="11" t="s">
        <v>357</v>
      </c>
    </row>
    <row r="45" spans="1:5">
      <c r="A45" s="21" t="s">
        <v>358</v>
      </c>
      <c r="B45" s="19"/>
      <c r="C45" s="19"/>
      <c r="D45" s="19"/>
      <c r="E45" s="19"/>
    </row>
  </sheetData>
  <mergeCells count="1">
    <mergeCell ref="A45:E45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읽는 법</vt:lpstr>
      <vt:lpstr>메뉴별근거</vt:lpstr>
      <vt:lpstr>요구사항대조</vt:lpstr>
      <vt:lpstr>법령조문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2026-09-01T02:32:57Z</dcterms:created>
  <dcterms:modified xsi:type="dcterms:W3CDTF">2026-09-01T07:18:32Z</dcterms:modified>
</cp:coreProperties>
</file>